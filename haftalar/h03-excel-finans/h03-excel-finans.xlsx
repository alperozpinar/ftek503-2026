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ku" sheetId="1" state="visible" r:id="rId1"/>
    <sheet name="Finans" sheetId="2" state="visible" r:id="rId2"/>
    <sheet name="Girdiler" sheetId="3" state="visible" r:id="rId3"/>
    <sheet name="Hesap" sheetId="4" state="visible" r:id="rId4"/>
    <sheet name="Cikti" sheetId="5" state="visible" r:id="rId5"/>
    <sheet name="Karar" sheetId="6" state="visible" r:id="rId6"/>
    <sheet name="Uygulama" sheetId="7" state="visible" r:id="rId7"/>
    <sheet name="Ileri" sheetId="8" state="visible" r:id="rId8"/>
    <sheet name="Ev" sheetId="9" state="visible" r:id="rId9"/>
  </sheets>
  <definedNames/>
  <calcPr calcId="124519" fullCalcOnLoad="1"/>
</workbook>
</file>

<file path=xl/styles.xml><?xml version="1.0" encoding="utf-8"?>
<styleSheet xmlns="http://schemas.openxmlformats.org/spreadsheetml/2006/main">
  <numFmts count="6">
    <numFmt numFmtId="164" formatCode="#,##0.00 &quot;TL&quot;"/>
    <numFmt numFmtId="165" formatCode="0.0000"/>
    <numFmt numFmtId="166" formatCode="0.000000"/>
    <numFmt numFmtId="167" formatCode="yyyy-mm-dd"/>
    <numFmt numFmtId="168" formatCode="dd.mm.yyyy"/>
    <numFmt numFmtId="169" formatCode="0.0000%"/>
  </numFmts>
  <fonts count="9">
    <font>
      <name val="Calibri"/>
      <family val="2"/>
      <color theme="1"/>
      <sz val="11"/>
      <scheme val="minor"/>
    </font>
    <font>
      <name val="Arial"/>
      <b val="1"/>
      <color rgb="00000000"/>
      <sz val="14"/>
    </font>
    <font>
      <name val="Arial"/>
      <b val="1"/>
      <color rgb="00000000"/>
      <sz val="10"/>
    </font>
    <font>
      <name val="Arial"/>
      <color rgb="00000000"/>
      <sz val="10"/>
    </font>
    <font>
      <name val="Arial"/>
      <color rgb="000000FF"/>
      <sz val="10"/>
    </font>
    <font>
      <name val="Arial"/>
      <color rgb="00008000"/>
      <sz val="10"/>
    </font>
    <font>
      <name val="Arial"/>
      <i val="1"/>
      <color rgb="00595959"/>
      <sz val="10"/>
    </font>
    <font>
      <name val="Arial"/>
      <b val="1"/>
      <color rgb="00000000"/>
      <sz val="11"/>
    </font>
    <font>
      <name val="Arial"/>
      <sz val="10"/>
    </font>
  </fonts>
  <fills count="5">
    <fill>
      <patternFill/>
    </fill>
    <fill>
      <patternFill patternType="gray125"/>
    </fill>
    <fill>
      <patternFill patternType="solid">
        <fgColor rgb="00FFFF00"/>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2" borderId="0" pivotButton="0" quotePrefix="0" xfId="0"/>
    <xf numFmtId="0" fontId="6" fillId="0" borderId="0" applyAlignment="1" pivotButton="0" quotePrefix="0" xfId="0">
      <alignment/>
    </xf>
    <xf numFmtId="0" fontId="7" fillId="3" borderId="0" pivotButton="0" quotePrefix="0" xfId="0"/>
    <xf numFmtId="164" fontId="4" fillId="0" borderId="1" pivotButton="0" quotePrefix="0" xfId="0"/>
    <xf numFmtId="10" fontId="4" fillId="0" borderId="1" pivotButton="0" quotePrefix="0" xfId="0"/>
    <xf numFmtId="1" fontId="4" fillId="0" borderId="1" pivotButton="0" quotePrefix="0" xfId="0"/>
    <xf numFmtId="165" fontId="3" fillId="0" borderId="1" pivotButton="0" quotePrefix="0" xfId="0"/>
    <xf numFmtId="164" fontId="3" fillId="0" borderId="1" pivotButton="0" quotePrefix="0" xfId="0"/>
    <xf numFmtId="166" fontId="3" fillId="0" borderId="1" pivotButton="0" quotePrefix="0" xfId="0"/>
    <xf numFmtId="10" fontId="3" fillId="0" borderId="1" pivotButton="0" quotePrefix="0" xfId="0"/>
    <xf numFmtId="164" fontId="3" fillId="2" borderId="1" pivotButton="0" quotePrefix="0" xfId="0"/>
    <xf numFmtId="10" fontId="3" fillId="2" borderId="1" pivotButton="0" quotePrefix="0" xfId="0"/>
    <xf numFmtId="0" fontId="2" fillId="4" borderId="1" applyAlignment="1" pivotButton="0" quotePrefix="0" xfId="0">
      <alignment horizontal="center" wrapText="1"/>
    </xf>
    <xf numFmtId="1" fontId="6" fillId="0" borderId="1" pivotButton="0" quotePrefix="0" xfId="0"/>
    <xf numFmtId="1" fontId="3" fillId="0" borderId="1" pivotButton="0" quotePrefix="0" xfId="0"/>
    <xf numFmtId="166" fontId="3" fillId="2" borderId="1" pivotButton="0" quotePrefix="0" xfId="0"/>
    <xf numFmtId="4" fontId="3" fillId="2" borderId="1" pivotButton="0" quotePrefix="0" xfId="0"/>
    <xf numFmtId="10" fontId="5" fillId="0" borderId="1" pivotButton="0" quotePrefix="0" xfId="0"/>
    <xf numFmtId="1" fontId="5" fillId="0" borderId="1" pivotButton="0" quotePrefix="0" xfId="0"/>
    <xf numFmtId="164" fontId="5" fillId="0" borderId="1" pivotButton="0" quotePrefix="0" xfId="0"/>
    <xf numFmtId="164" fontId="6" fillId="0" borderId="1" pivotButton="0" quotePrefix="0" xfId="0"/>
    <xf numFmtId="2" fontId="3" fillId="0" borderId="1" pivotButton="0" quotePrefix="0" xfId="0"/>
    <xf numFmtId="0" fontId="3" fillId="0" borderId="1" pivotButton="0" quotePrefix="0" xfId="0"/>
    <xf numFmtId="0" fontId="5" fillId="0" borderId="1" pivotButton="0" quotePrefix="0" xfId="0"/>
    <xf numFmtId="168" fontId="4" fillId="0" borderId="1" pivotButton="0" quotePrefix="0" xfId="0"/>
    <xf numFmtId="169" fontId="3" fillId="0" borderId="1" pivotButton="0" quotePrefix="0" xfId="0"/>
    <xf numFmtId="4" fontId="3" fillId="0" borderId="1" pivotButton="0" quotePrefix="0" xfId="0"/>
    <xf numFmtId="164" fontId="0" fillId="0" borderId="1" pivotButton="0" quotePrefix="0" xfId="0"/>
    <xf numFmtId="164" fontId="8" fillId="2" borderId="1" pivotButton="0" quotePrefix="0" xfId="0"/>
    <xf numFmtId="169" fontId="3" fillId="2" borderId="1" pivotButton="0" quotePrefix="0" xfId="0"/>
    <xf numFmtId="1" fontId="3" fillId="2" borderId="1" pivotButton="0" quotePrefix="0" xfId="0"/>
    <xf numFmtId="0" fontId="3" fillId="2" borderId="1" pivotButton="0" quotePrefix="0" xfId="0"/>
    <xf numFmtId="0" fontId="0"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FTEK 503</author>
  </authors>
  <commentList>
    <comment ref="B6" authorId="0" shapeId="0">
      <text>
        <t>H2'de 10.000 TL'nin yıllık %40 ile 3 yıl sonraki bileşik değeri.</t>
      </text>
    </comment>
    <comment ref="B18" authorId="0" shapeId="0">
      <text>
        <t>Öğretim amaçlı varsayım; bir bankanın gerçek teklifi değildir.</t>
      </text>
    </comment>
    <comment ref="B51" authorId="0" shapeId="0">
      <text>
        <t>Öğretim amaçlı varsayım.</t>
      </text>
    </comment>
    <comment ref="B53" authorId="0" shapeId="0">
      <text>
        <t>Gelecekteki tutar / (1 + oran) ^ süre. PV ile de bulunur: =-PV(B51,B52,0,B50)</t>
      </text>
    </comment>
    <comment ref="B57" authorId="0" shapeId="0">
      <text>
        <t>Öğretim amaçlı varsayım.</t>
      </text>
    </comment>
    <comment ref="B59" authorId="0" shapeId="0">
      <text>
        <t>=-PMT(oran, vade, kredi tutarı)</t>
      </text>
    </comment>
    <comment ref="B60" authorId="0" shapeId="0">
      <text>
        <t>Taksit × vade - kredi tutarı. Sonra kredi × oran × vade ile karşılaştırılır: hangisi büyük, neden?</t>
      </text>
    </comment>
    <comment ref="B63" authorId="0" shapeId="0">
      <text>
        <t>Öğretim amaçlı varsayım.</t>
      </text>
    </comment>
    <comment ref="B65" authorId="0" shapeId="0">
      <text>
        <t>Aylık oran × yıldaki ay sayısı</t>
      </text>
    </comment>
    <comment ref="B66" authorId="0" shapeId="0">
      <text>
        <t>(1 + aylık oran) ^ ay sayısı - 1. Formüle 12 yazılmaz; B64'e başvurulur.</t>
      </text>
    </comment>
    <comment ref="B72" authorId="0" shapeId="0">
      <text>
        <t>Öğretim amaçlı varsayım; bir bankanın gerçek teklifi değildir.</t>
      </text>
    </comment>
    <comment ref="B74" authorId="0" shapeId="0">
      <text>
        <t>Tüketici kredisinde tahsis ücreti, kullandırılan anaparanın binde beşini geçemez: 100.000 TL'de en çok 500 TL. Kaynak: TCMB, Finansal Tüketicilerden Alınacak Ücretlere İlişkin Usûl ve Esaslar Hakkında Tebliğ (Sayı: 2020/7) md. 10/1; el kitabı f03, 4. bölüm ve kaynak 7. Örnekte banka bu sınır kadar ücreti peşin keser.</t>
      </text>
    </comment>
    <comment ref="B76" authorId="0" shapeId="0">
      <text>
        <t>=-PMT(akdi oran, vade, kredi tutarı). Ücret taksiti değiştirmez.</t>
      </text>
    </comment>
    <comment ref="B77" authorId="0" shapeId="0">
      <text>
        <t>Kredi tutarı - tahsis ücreti</t>
      </text>
    </comment>
    <comment ref="B80" authorId="0" shapeId="0">
      <text>
        <t>Ay 0 = bugün: ele geçen tutar, artı.</t>
      </text>
    </comment>
    <comment ref="B81" authorId="0" shapeId="0">
      <text>
        <t>Taksit eksi işaretle. Taksit hücresine $ ile başvurulur ($B$76), sonra formül aşağı sürüklenir.</t>
      </text>
    </comment>
    <comment ref="B93" authorId="0" shapeId="0">
      <text>
        <t>=IRR(B80:B92): ay 0 dahil bütün akışlar.</t>
      </text>
    </comment>
    <comment ref="B94" authorId="0" shapeId="0">
      <text>
        <t>= yazılır, B93'e tıklanır, - yazılır, İleri sayfasının B21 hücresine tıklanır, Enter. 0 çıkmalı.</t>
      </text>
    </comment>
    <comment ref="B95" authorId="0" shapeId="0">
      <text>
        <t>(1 + aylık maliyet) ^ yıldaki ay sayısı - 1</t>
      </text>
    </comment>
    <comment ref="B96" authorId="0" shapeId="0">
      <text>
        <t>Akdi aylık faizin yıllık etkin karşılığı (F3'teki kalıp).</t>
      </text>
    </comment>
    <comment ref="B97" authorId="0" shapeId="0">
      <text>
        <t>Birim çevirme: 0,05'lik oran farkı 5 yüzde puandır. Varsayım değil; formüle gömülmesin diye kendi hücresinde (H2'deki gibi).</t>
      </text>
    </comment>
    <comment ref="B98" authorId="0" shapeId="0">
      <text>
        <t>(Yıllık maliyet - ücretsiz yıllık oran) × çevirme sayısı. İki oranın farkı yüzde değil, yüzde puandır.</t>
      </text>
    </comment>
  </commentList>
</comments>
</file>

<file path=xl/comments/comment2.xml><?xml version="1.0" encoding="utf-8"?>
<comments xmlns="http://schemas.openxmlformats.org/spreadsheetml/2006/main">
  <authors>
    <author>FTEK 503</author>
  </authors>
  <commentList>
    <comment ref="B10" authorId="0" shapeId="0">
      <text>
        <t>H2'de 10.000 TL'nin yıllık %40 ile 3 yıl sonraki bileşik değeri.</t>
      </text>
    </comment>
  </commentList>
</comments>
</file>

<file path=xl/comments/comment3.xml><?xml version="1.0" encoding="utf-8"?>
<comments xmlns="http://schemas.openxmlformats.org/spreadsheetml/2006/main">
  <authors>
    <author>FTEK 503</author>
  </authors>
  <commentList>
    <comment ref="B79" authorId="0" shapeId="0">
      <text>
        <t>TUZAK: NPV (net bugünkü değer) listedeki İLK değeri 1. dönemin sonunda sayar ve onu da iskonto eder. Microsoft'un NPV belgesine göre yatırım, ilk nakit akışının tarihinden bir dönem önce başlar. Örnekteki yatırım bugün (dönem 0) yapılır. B72:B75 verilirse -10.000 TL bir yıl sonraya kayar ve bütün akışlar bir dönem fazla iskonto edilir: 1.307,29 yerine 1.188,44 çıkar (tam 1,10 kat küçük). Doğrusu B78: =NPV(B69,B73:B75)+B72.</t>
      </text>
    </comment>
  </commentList>
</comments>
</file>

<file path=xl/comments/comment4.xml><?xml version="1.0" encoding="utf-8"?>
<comments xmlns="http://schemas.openxmlformats.org/spreadsheetml/2006/main">
  <authors>
    <author>FTEK 503</author>
  </authors>
  <commentList>
    <comment ref="B6" authorId="0" shapeId="0">
      <text>
        <t>TCMB, Kredi Faiz Oranları (Haftalık Akım, Ağırlıklı Ortalama) metaverisi, efektif yıllık faiz oranı örneği: 10.000 TL, 2 yıl, aylık ödemeli ihtiyaç kredisi.</t>
      </text>
    </comment>
    <comment ref="B9" authorId="0" shapeId="0">
      <text>
        <t>TCMB, PPK Toplantı Özeti (Sayı 2026-42, 17.09.2026), 5. paragraf: ihtiyaç kredisi (KMH hariç) faiz oranları 4 Eylül ile biten haftada %63,0. TCMB bu oranı her kredinin efektif yıllık faiz oranından hesaplar (Kredi Faiz Oranları metaverisi). https://www.tcmb.gov.tr/wps/wcm/connect/tr/tcmb+tr/main+menu/duyurular/basin/2026/duy2026-42</t>
      </text>
    </comment>
    <comment ref="B11" authorId="0" shapeId="0">
      <text>
        <t>Birim çevirme. Formüle 100 yazılmasın diye kendi hücresinde.</t>
      </text>
    </comment>
    <comment ref="B48" authorId="0" shapeId="0">
      <text>
        <t>Varsayımsal ilan: 100.000 TL, aylık %4, 12 ay. Piyasa verisi değildir.</t>
      </text>
    </comment>
    <comment ref="B51" authorId="0" shapeId="0">
      <text>
        <t>Varsayımsal gelir.</t>
      </text>
    </comment>
    <comment ref="B52" authorId="0" shapeId="0">
      <text>
        <t>Öğretim amaçlı eşik. Bir düzenleme ya da banka kuralı değildir.</t>
      </text>
    </comment>
    <comment ref="B54" authorId="0" shapeId="0">
      <text>
        <t>Öğretim amaçlı sınır (OR örneği).</t>
      </text>
    </comment>
    <comment ref="B61" authorId="0" shapeId="0">
      <text>
        <t>Goal Seek bu hücreyi değiştirir. Örnek bitince 100.000'e geri alınabilir.</t>
      </text>
    </comment>
  </commentList>
</comments>
</file>

<file path=xl/comments/comment5.xml><?xml version="1.0" encoding="utf-8"?>
<comments xmlns="http://schemas.openxmlformats.org/spreadsheetml/2006/main">
  <authors>
    <author>FTEK 503</author>
  </authors>
  <commentList>
    <comment ref="B7" authorId="0" shapeId="0">
      <text>
        <t>Varsayımsal gelir.</t>
      </text>
    </comment>
    <comment ref="B8" authorId="0" shapeId="0">
      <text>
        <t>Öğretim amaçlı eşik. Bir düzenleme ya da banka kuralı değildir.</t>
      </text>
    </comment>
    <comment ref="B9" authorId="0" shapeId="0">
      <text>
        <t>TCMB, PPK Toplantı Özeti (Sayı 2026-42, 17.09.2026), 5. paragraf: ihtiyaç kredisi (KMH hariç) faiz oranları 4 Eylül ile biten haftada %63,0. TCMB bu oranı her kredinin efektif yıllık faiz oranından hesaplar (Kredi Faiz Oranları metaverisi). https://www.tcmb.gov.tr/wps/wcm/connect/tr/tcmb+tr/main+menu/duyurular/basin/2026/duy2026-42</t>
      </text>
    </comment>
    <comment ref="D13" authorId="0" shapeId="0">
      <text>
        <t>Tüketici kredisinde tahsis ücreti, kullandırılan anaparanın binde beşini geçemez: 100.000 TL'de en çok 500 TL. Kaynak: TCMB, Finansal Tüketicilerden Alınacak Ücretlere İlişkin Usûl ve Esaslar Hakkında Tebliğ (Sayı: 2020/7) md. 10/1; el kitabı f03, 4. bölüm ve kaynak 7. Örnekte banka bu sınır kadar ücreti peşin keser.</t>
      </text>
    </comment>
    <comment ref="E13" authorId="0" shapeId="0">
      <text>
        <t>PMT(oran, vade, tutar), başına eksi. Tutar $B$6 ile sabitlenir, formül aşağı sürüklenir.</t>
      </text>
    </comment>
    <comment ref="F13" authorId="0" shapeId="0">
      <text>
        <t>Taksit × vade.</t>
      </text>
    </comment>
    <comment ref="G13" authorId="0" shapeId="0">
      <text>
        <t>Toplam ödeme - kredi tutarı.</t>
      </text>
    </comment>
    <comment ref="H13" authorId="0" shapeId="0">
      <text>
        <t>Taksit / aylık gelir. Gelir $B$7 ile sabitlenir.</t>
      </text>
    </comment>
    <comment ref="B21" authorId="0" shapeId="0">
      <text>
        <t>= ile teklifin oran hücresine (B13) bağlanır.</t>
      </text>
    </comment>
    <comment ref="D21" authorId="0" shapeId="0">
      <text>
        <t>= ile teklifin taksit hücresine (E13) bağlanır.</t>
      </text>
    </comment>
    <comment ref="B24" authorId="0" shapeId="0">
      <text>
        <t>Başlangıç borcu = bir önceki satırın kalan borcu.</t>
      </text>
    </comment>
    <comment ref="C24" authorId="0" shapeId="0">
      <text>
        <t>Faiz = başlangıç borcu × oran. Oran B$21 ile: satır sabit, sütun serbest; blok kopyalanınca kendi oranını bulur.</t>
      </text>
    </comment>
    <comment ref="D24" authorId="0" shapeId="0">
      <text>
        <t>Anapara = taksit - faiz. Taksit D$21 ile.</t>
      </text>
    </comment>
    <comment ref="E24" authorId="0" shapeId="0">
      <text>
        <t>Kalan borç = başlangıç borcu - anapara.</t>
      </text>
    </comment>
    <comment ref="C48" authorId="0" shapeId="0">
      <text>
        <t>SUM ile faiz sütunu. Boş satırlar toplamı değiştirmez.</t>
      </text>
    </comment>
    <comment ref="B49" authorId="0" shapeId="0">
      <text>
        <t>Son dönemin kalan borcu. 0 olmalı.</t>
      </text>
    </comment>
    <comment ref="B50" authorId="0" shapeId="0">
      <text>
        <t>Tablonun toplam faizi - özet tablodaki toplam faiz. 0 olmalı.</t>
      </text>
    </comment>
    <comment ref="B56" authorId="0" shapeId="0">
      <text>
        <t>Kredi tutarı - tahsis ücreti. Borçluya gelen para artı.</t>
      </text>
    </comment>
    <comment ref="B57" authorId="0" shapeId="0">
      <text>
        <t>Taksit eksi işaretle; $E$13 ile sabitlenir, aşağı sürüklenir.</t>
      </text>
    </comment>
    <comment ref="B83" authorId="0" shapeId="0">
      <text>
        <t>IRR(akış). Aralık ay 0'dan teklifin son ayına kadardır.</t>
      </text>
    </comment>
    <comment ref="C83" authorId="0" shapeId="0">
      <text>
        <t>(1 + aylık maliyet)^12 - 1.</t>
      </text>
    </comment>
    <comment ref="D83" authorId="0" shapeId="0">
      <text>
        <t>Ücret yokken: (1 + akdi oran)^12 - 1.</t>
      </text>
    </comment>
    <comment ref="E83" authorId="0" shapeId="0">
      <text>
        <t>İki oranın farkı × birim çevirme.</t>
      </text>
    </comment>
    <comment ref="F83" authorId="0" shapeId="0">
      <text>
        <t>RANK.EQ(sayı, aralık, 1). 1: küçükten büyüğe, en düşük maliyet 1. sırada.</t>
      </text>
    </comment>
    <comment ref="G83" authorId="0" shapeId="0">
      <text>
        <t>IF(taksit/gelir &lt;= eşik, "Uygun", "Riskli").</t>
      </text>
    </comment>
    <comment ref="H83" authorId="0" shapeId="0">
      <text>
        <t>IF(AND(bütçe koşulu, yıllık maliyet &lt;= TCMB ortalaması), ..., ...).</t>
      </text>
    </comment>
    <comment ref="B87" authorId="0" shapeId="0">
      <text>
        <t>MIN.</t>
      </text>
    </comment>
    <comment ref="B88" authorId="0" shapeId="0">
      <text>
        <t>INDEX(teklif adları, MATCH(B87, maliyetler, 0)). 0: tam eşleşme.</t>
      </text>
    </comment>
    <comment ref="B89" authorId="0" shapeId="0">
      <text>
        <t>Aynı kalıp, G13:G15 ile.</t>
      </text>
    </comment>
    <comment ref="B90" authorId="0" shapeId="0">
      <text>
        <t>COUNTIF(aralık, "Uygun").</t>
      </text>
    </comment>
    <comment ref="B91" authorId="0" shapeId="0">
      <text>
        <t>İki üç cümle: akdi oran, toplam faiz ve maliyet aynı sıralamayı mı verir? Hangi teklif hangi ölçüte göre öne çıkar; bütçe kuralı seçimi nasıl değiştirir? Tavsiye cümlesi kurulmaz.</t>
      </text>
    </comment>
    <comment ref="B96" authorId="0" shapeId="0">
      <text>
        <t>İlan kredisinin oranı (Karar!B49 ile aynı varsayım).</t>
      </text>
    </comment>
    <comment ref="B100" authorId="0" shapeId="0">
      <text>
        <t>PMT, başına eksi.</t>
      </text>
    </comment>
    <comment ref="A102" authorId="0" shapeId="0">
      <text>
        <t>Data Table'ın sol üst köşesi modele bağlanır.</t>
      </text>
    </comment>
    <comment ref="B103" authorId="0" shapeId="0">
      <text>
        <t>Data Table ile doldurulur. Alternatif: karma başvurulu formül, Karar sayfası K5 sağlaması gibi.</t>
      </text>
    </comment>
    <comment ref="B110" authorId="0" shapeId="0">
      <text>
        <t>IF(taksit &lt;= $B$99, "Sığar", "Sığmaz"), bütün ızgaraya sürüklenir.</t>
      </text>
    </comment>
    <comment ref="B116" authorId="0" shapeId="0">
      <text>
        <t>COUNTIF.</t>
      </text>
    </comment>
    <comment ref="B117" authorId="0" shapeId="0">
      <text>
        <t>7.500 TL sınırı ızgarada nasıl bir sınır çizer? Vade uzadıkça neden daha büyük tutar sığar ve bunun toplam faize etkisi ne?</t>
      </text>
    </comment>
  </commentList>
</comments>
</file>

<file path=xl/comments/comment6.xml><?xml version="1.0" encoding="utf-8"?>
<comments xmlns="http://schemas.openxmlformats.org/spreadsheetml/2006/main">
  <authors>
    <author>FTEK 503</author>
  </authors>
  <commentList>
    <comment ref="C9" authorId="0" shapeId="0">
      <text>
        <t>Tutar * oran / (1 - (1 + oran)^(-vade))</t>
      </text>
    </comment>
    <comment ref="B18" authorId="0" shapeId="0">
      <text>
        <t>Tüketici kredisinde tahsis ücreti, kullandırılan anaparanın binde beşini geçemez: 100.000 TL'de en çok 500 TL. Kaynak: TCMB, Finansal Tüketicilerden Alınacak Ücretlere İlişkin Usûl ve Esaslar Hakkında Tebliğ (Sayı: 2020/7) md. 10/1; el kitabı f03, 4. bölüm ve kaynak 7. Örnekte banka bu sınır kadar ücreti peşin keser.</t>
      </text>
    </comment>
    <comment ref="C18" authorId="0" shapeId="0">
      <text>
        <t>150.000 TL'nin binde beşi: yasal sınır (ayrıntı B18'deki notta).</t>
      </text>
    </comment>
    <comment ref="C21" authorId="0" shapeId="0">
      <text>
        <t>=RATE(vade, -taksit, ele geçen tutar)</t>
      </text>
    </comment>
    <comment ref="C28" authorId="0" shapeId="0">
      <text>
        <t>Birikimde bugün ele para geçmez: 0.</t>
      </text>
    </comment>
    <comment ref="B29" authorId="0" shapeId="0">
      <text>
        <t>Kredide sonunda borç sıfırlanır: 0.</t>
      </text>
    </comment>
    <comment ref="C31" authorId="0" shapeId="0">
      <text>
        <t>=NPER(oran, -aylık tutar, pv, fv)</t>
      </text>
    </comment>
    <comment ref="C33" authorId="0" shapeId="0">
      <text>
        <t>=PV(oran, ay sayısı, -aylık tutar, fv) - pv. 0 çıkmalı.</t>
      </text>
    </comment>
    <comment ref="C39" authorId="0" shapeId="0">
      <text>
        <t>Aylık oran × yılda dönem sayısı</t>
      </text>
    </comment>
    <comment ref="C40" authorId="0" shapeId="0">
      <text>
        <t>=EFFECT(nominal oran, yılda dönem sayısı)</t>
      </text>
    </comment>
    <comment ref="C41" authorId="0" shapeId="0">
      <text>
        <t>(1 + aylık oran) ^ yılda dönem sayısı - 1. Dönem sayısı C38'de; formüle 12 yazılmaz.</t>
      </text>
    </comment>
    <comment ref="C43" authorId="0" shapeId="0">
      <text>
        <t>=NOMINAL(etkin oran, yılda dönem sayısı)</t>
      </text>
    </comment>
  </commentList>
</comments>
</file>

<file path=xl/comments/comment7.xml><?xml version="1.0" encoding="utf-8"?>
<comments xmlns="http://schemas.openxmlformats.org/spreadsheetml/2006/main">
  <authors>
    <author>FTEK 503</author>
  </authors>
  <commentList>
    <comment ref="B5" authorId="0" shapeId="0">
      <text>
        <t>Öğretim amaçlı varsayım.</t>
      </text>
    </comment>
    <comment ref="B6" authorId="0" shapeId="0">
      <text>
        <t>Öğretim amaçlı varsayım.</t>
      </text>
    </comment>
    <comment ref="B7" authorId="0" shapeId="0">
      <text>
        <t>Öğretim amaçlı varsayım; piyasa oranı değildir. Bir bankanın gerçek teklifi yazılıp denenebilir.</t>
      </text>
    </comment>
    <comment ref="B11" authorId="0" shapeId="0">
      <text>
        <t>Fiyat - peşinat</t>
      </text>
    </comment>
    <comment ref="B12" authorId="0" shapeId="0">
      <text>
        <t>=-PMT(B7,B8,B11)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B1:B25"/>
  <sheetViews>
    <sheetView showGridLines="1" workbookViewId="0">
      <selection activeCell="A1" sqref="A1"/>
    </sheetView>
  </sheetViews>
  <sheetFormatPr baseColWidth="8" defaultRowHeight="15"/>
  <cols>
    <col width="4" customWidth="1" min="1" max="1"/>
    <col width="100" customWidth="1" min="2" max="2"/>
  </cols>
  <sheetData>
    <row r="1">
      <c r="B1" s="1" t="inlineStr">
        <is>
          <t>4. oturum: Excel II, kredi ve karar araçları</t>
        </is>
      </c>
    </row>
    <row r="3">
      <c r="B3" s="2" t="inlineStr">
        <is>
          <t>Bu dosyayı nasıl kullanırım?</t>
        </is>
      </c>
    </row>
    <row r="4">
      <c r="B4" s="3" t="inlineStr">
        <is>
          <t>Haftanın vakası: TCMB'ye göre ihtiyaç kredisi faizi yıllık %63 (4 Eylül 2026 haftası; PPK toplantı özeti, 17.09.2026). İlandaki 'aylık %3,89'dan başlayan faiz' bu ortalamanın neresindedir; 100.000 TL için üç teklifin hangisinin maliyeti en düşüktür, hangisinin taksiti bütçeye sığar?</t>
        </is>
      </c>
    </row>
    <row r="5">
      <c r="B5" s="3" t="inlineStr">
        <is>
          <t>Teklifler, gelir ve bütçe eşiği varsayımsaldır; piyasa verisi değildir. Vergiler (KKDF, BSMV) modele dahil değildir. Kredi tavsiyesi değildir.</t>
        </is>
      </c>
    </row>
    <row r="6">
      <c r="B6" s="3" t="inlineStr">
        <is>
          <t>Sayfalar: Finans (finans temeli, el kitabı f03), Girdiler (Hesap ve Cikti sayfalarının varsayımları), Hesap (çalışılmış örnekler: FV, PV, kredi ve amortisman, NPV ve IRR, yani net bugünkü değer ve iç verim oranı), Cikti (özet), Karar (TCMB oranının hesabı, Goal Seek, Data Table, IF, AND, OR), Uygulama (derste: G1, G2, G4), Ileri (isteğe bağlı), Ev (notsuz).</t>
        </is>
      </c>
    </row>
    <row r="7">
      <c r="B7" s="3" t="inlineStr">
        <is>
          <t>Finans sayfası el kitabının f03 bölümüyle birlikte okunur: finans-temeli/f03-paranin-zaman-degeri-ve-kredi.md. Girdileri kendi içindedir.</t>
        </is>
      </c>
    </row>
    <row r="8">
      <c r="B8" s="3" t="inlineStr">
        <is>
          <t>Hesap ve Cikti'deki bir varsayım yalnız Girdiler sayfasında değiştirilir. Sayfalar arası başvuru: =Girdiler!B5, 'Girdiler sayfasındaki B5 hücresi' demektir; bu hücreler yeşil yazılır.</t>
        </is>
      </c>
    </row>
    <row r="9">
      <c r="B9" s="3" t="inlineStr">
        <is>
          <t>Goal Seek ve Data Table masaüstü Excel'de çalışır (Data &gt; What-If Analysis). Web için Excel'de yoktur.</t>
        </is>
      </c>
    </row>
    <row r="10">
      <c r="B10" s="3" t="inlineStr">
        <is>
          <t>Çalışma sırası: el kitabı f03, ders notu, Finans, Hesap, Karar, Uygulama, Ileri, Ev, Colab defteri.</t>
        </is>
      </c>
    </row>
    <row r="11">
      <c r="B11" s="3" t="inlineStr">
        <is>
          <t>Etiketler: [G] Girdiler, [D] Dönem ve oran, [İ] İşaret, [H] Hesap, [S] Sağlama, [Y] Yorum.</t>
        </is>
      </c>
    </row>
    <row r="12">
      <c r="B12" s="3" t="inlineStr">
        <is>
          <t>İşaret kuralı: borçludan çıkan para eksi, borçluya giren para artı. Excel'in finans fonksiyonları bu kurala göre çalışır.</t>
        </is>
      </c>
    </row>
    <row r="13">
      <c r="B13" s="3" t="inlineStr">
        <is>
          <t>Fark hücreleri 0,000000 göstermelidir. Çok küçük bir eksi sayı -0,000000 gibi görünebilir; bu da sıfırdır.</t>
        </is>
      </c>
    </row>
    <row r="14">
      <c r="B14" s="3" t="inlineStr">
        <is>
          <t>Tabloların başındaki 'dönem 0' satırında gri italik 0 yapısaldır: 'bugün' satırını başlatır. Girdi ya da formül değildir.</t>
        </is>
      </c>
    </row>
    <row r="15">
      <c r="B15" s="3" t="inlineStr">
        <is>
          <t>Formüller İngilizce Excel yazımıyla verilir, ör. Hesap!B10: =FV(B5,B6,-B7). Türkçe Excel'de fonksiyonun yerel adı formül çubuğunun solundaki fx düğmesiyle bulunur; argüman ayracı noktalı virgüldür.</t>
        </is>
      </c>
    </row>
    <row r="17">
      <c r="B17" s="2" t="inlineStr">
        <is>
          <t>Renkler</t>
        </is>
      </c>
    </row>
    <row r="18">
      <c r="B18" s="4" t="inlineStr">
        <is>
          <t>Mavi yazı: elle girilen girdi. Girdi değiştirilince ona bağlı sonuçlar yeniden hesaplanır.</t>
        </is>
      </c>
    </row>
    <row r="19">
      <c r="B19" s="3" t="inlineStr">
        <is>
          <t>Siyah yazı: formül. Hücre seçilince formül, formül çubuğunda görünür.</t>
        </is>
      </c>
    </row>
    <row r="20">
      <c r="B20" s="5" t="inlineStr">
        <is>
          <t>Yeşil yazı: başka bir sayfadaki hücreye bağlanan formül.</t>
        </is>
      </c>
    </row>
    <row r="21">
      <c r="B21" s="6" t="inlineStr">
        <is>
          <t>Sarı hücre: öğrencinin dolduracağı hücre. Açıklama notu, fare hücrenin üzerine gelince görünür.</t>
        </is>
      </c>
    </row>
    <row r="23">
      <c r="B23" s="2" t="inlineStr">
        <is>
          <t>Excel dili ve bölge ayarı</t>
        </is>
      </c>
    </row>
    <row r="24">
      <c r="B24" s="3" t="inlineStr">
        <is>
          <t>Dersin dosyaları ve notları Excel fonksiyonlarını İngilizce adlarıyla verir (FV, PMT, NPV). Türkçe Excel'de aynı fonksiyon yerel adıyla görünür; yerel ad fx düğmesiyle bulunur.</t>
        </is>
      </c>
    </row>
    <row r="25">
      <c r="B25" s="3" t="inlineStr">
        <is>
          <t>Ondalık işareti ve formüldeki ayırıcı bilgisayarın bölge ayarından gelir (Türkçe bölge ayarında 0,4 ve ;). Dosya her dilde ve bölge ayarında aynı çalışır.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9"/>
  <sheetViews>
    <sheetView showGridLines="1" workbookViewId="0">
      <selection activeCell="A1" sqref="A1"/>
    </sheetView>
  </sheetViews>
  <sheetFormatPr baseColWidth="8" defaultRowHeight="15"/>
  <cols>
    <col width="52" customWidth="1" min="1" max="1"/>
    <col width="16" customWidth="1" min="2" max="2"/>
    <col width="100" customWidth="1" min="3" max="3"/>
  </cols>
  <sheetData>
    <row r="1">
      <c r="A1" s="1" t="inlineStr">
        <is>
          <t>Finans temeli (f03): paranın zaman değeri ve kredinin maliyeti</t>
        </is>
      </c>
    </row>
    <row r="2">
      <c r="A2" s="7" t="inlineStr">
        <is>
          <t>El kitabı bölümü: finans-temeli/f03-paranin-zaman-degeri-ve-kredi.md. Bu sayfa teorinin 5-25. dakikasındaki Finans temeli bloğunun Excel yazımıdır.</t>
        </is>
      </c>
    </row>
    <row r="3">
      <c r="A3" s="7" t="inlineStr">
        <is>
          <t>Girdiler (mavi) bu sayfada durur; Girdiler sayfasına bağlı değildir. Oranlar öğretim amaçlı varsayımdır, piyasa verisi değildir.</t>
        </is>
      </c>
    </row>
    <row r="5">
      <c r="A5" s="8" t="inlineStr">
        <is>
          <t>F1. İskonto: gelecekteki parayı bugüne taşımak</t>
        </is>
      </c>
    </row>
    <row r="6">
      <c r="A6" s="3" t="inlineStr">
        <is>
          <t>[G] Gelecekteki tutar</t>
        </is>
      </c>
      <c r="B6" s="9" t="n">
        <v>27440</v>
      </c>
    </row>
    <row r="7">
      <c r="A7" s="3" t="inlineStr">
        <is>
          <t>[G] Yıllık oran</t>
        </is>
      </c>
      <c r="B7" s="10" t="n">
        <v>0.4</v>
      </c>
    </row>
    <row r="8">
      <c r="A8" s="3" t="inlineStr">
        <is>
          <t>[G] Süre (yıl)</t>
        </is>
      </c>
      <c r="B8" s="11" t="n">
        <v>3</v>
      </c>
    </row>
    <row r="9">
      <c r="A9" s="3" t="inlineStr">
        <is>
          <t>[D] Dönem</t>
        </is>
      </c>
      <c r="C9" s="7" t="inlineStr">
        <is>
          <t>Oran yıllık, süre yıl: birimler uyumlu.</t>
        </is>
      </c>
    </row>
    <row r="10">
      <c r="A10" s="3" t="inlineStr">
        <is>
          <t>[H] İskonto çarpanı</t>
        </is>
      </c>
      <c r="B10" s="12">
        <f>1/(1+B7)^B8</f>
        <v/>
      </c>
      <c r="C10" s="7" t="inlineStr">
        <is>
          <t>1 / (1 + oran) ^ dönem: gelecekteki 1 TL'nin bugünkü değeri.</t>
        </is>
      </c>
    </row>
    <row r="11">
      <c r="A11" s="3" t="inlineStr">
        <is>
          <t>[H] Bugünkü değer</t>
        </is>
      </c>
      <c r="B11" s="13">
        <f>B6*B10</f>
        <v/>
      </c>
      <c r="C11" s="7" t="inlineStr">
        <is>
          <t>Gelecekteki tutar × iskonto çarpanı. Tek formülle: =B6/(1+B7)^B8</t>
        </is>
      </c>
    </row>
    <row r="12">
      <c r="A12" s="3" t="inlineStr">
        <is>
          <t>[S] Sağlama: PV fonksiyonuyla</t>
        </is>
      </c>
      <c r="B12" s="13">
        <f>-PV(B7,B8,0,B6)</f>
        <v/>
      </c>
      <c r="C12" s="7" t="inlineStr">
        <is>
          <t>Formül: =-PV(B7,B8,0,B6). PV tek başına eksi verir (bugün cepten çıkan); başına eksi konur. Hesap!B34 aynı hesabı eksi işaretle gösterir.</t>
        </is>
      </c>
    </row>
    <row r="13">
      <c r="A13" s="3" t="inlineStr">
        <is>
          <t>[S] Fark</t>
        </is>
      </c>
      <c r="B13" s="14">
        <f>B11-B12</f>
        <v/>
      </c>
    </row>
    <row r="14">
      <c r="A14" s="3" t="inlineStr">
        <is>
          <t>[Y] Yorum</t>
        </is>
      </c>
      <c r="C14" s="7" t="inlineStr">
        <is>
          <t>Para yıllık bu oranla değerlendirilebilirse gelecekteki tutar bugünkü değere denktir. Oran büyüdükçe bugünkü değer küçülür.</t>
        </is>
      </c>
    </row>
    <row r="16">
      <c r="A16" s="8" t="inlineStr">
        <is>
          <t>F2. Eşit taksitli kredi ve toplam faiz</t>
        </is>
      </c>
    </row>
    <row r="17">
      <c r="A17" s="3" t="inlineStr">
        <is>
          <t>[G] Kredi tutarı</t>
        </is>
      </c>
      <c r="B17" s="9" t="n">
        <v>100000</v>
      </c>
    </row>
    <row r="18">
      <c r="A18" s="3" t="inlineStr">
        <is>
          <t>[G] Aylık faiz oranı</t>
        </is>
      </c>
      <c r="B18" s="10" t="n">
        <v>0.03</v>
      </c>
    </row>
    <row r="19">
      <c r="A19" s="3" t="inlineStr">
        <is>
          <t>[G] Vade (ay)</t>
        </is>
      </c>
      <c r="B19" s="11" t="n">
        <v>12</v>
      </c>
    </row>
    <row r="20">
      <c r="A20" s="3" t="inlineStr">
        <is>
          <t>[D] Dönem</t>
        </is>
      </c>
      <c r="C20" s="7" t="inlineStr">
        <is>
          <t>Oran aylık, taksit aylık, vade ay: birimler uyumlu.</t>
        </is>
      </c>
    </row>
    <row r="21">
      <c r="A21" s="3" t="inlineStr">
        <is>
          <t>[İ] İşaret</t>
        </is>
      </c>
      <c r="C21" s="7" t="inlineStr">
        <is>
          <t>Kredi borçluya gelir (artı), taksit borçludan çıkar (eksi). PMT eksi verir; başına eksi konur.</t>
        </is>
      </c>
    </row>
    <row r="22">
      <c r="A22" s="3" t="inlineStr">
        <is>
          <t>[H] Aylık taksit</t>
        </is>
      </c>
      <c r="B22" s="13">
        <f>-PMT(B18,B19,B17)</f>
        <v/>
      </c>
      <c r="C22" s="7" t="inlineStr">
        <is>
          <t>Formül: =-PMT(B18,B19,B17)</t>
        </is>
      </c>
    </row>
    <row r="23">
      <c r="A23" s="3" t="inlineStr">
        <is>
          <t>[H] Toplam ödeme</t>
        </is>
      </c>
      <c r="B23" s="13">
        <f>B22*B19</f>
        <v/>
      </c>
      <c r="C23" s="7" t="inlineStr">
        <is>
          <t>Taksit × vade</t>
        </is>
      </c>
    </row>
    <row r="24">
      <c r="A24" s="3" t="inlineStr">
        <is>
          <t>[H] Toplam faiz</t>
        </is>
      </c>
      <c r="B24" s="13">
        <f>B23-B17</f>
        <v/>
      </c>
      <c r="C24" s="7" t="inlineStr">
        <is>
          <t>Toplam ödeme - kredi tutarı. Kredinin borçluya maliyeti budur; toplam ödemenin geri kalanı borcun iadesidir.</t>
        </is>
      </c>
    </row>
    <row r="25">
      <c r="A25" s="3" t="inlineStr">
        <is>
          <t>[H] 1. ay faizi</t>
        </is>
      </c>
      <c r="B25" s="13">
        <f>B17*B18</f>
        <v/>
      </c>
      <c r="C25" s="7" t="inlineStr">
        <is>
          <t>İlk ay faiz bütün borç üzerinden işler.</t>
        </is>
      </c>
    </row>
    <row r="26">
      <c r="A26" s="3" t="inlineStr">
        <is>
          <t>[H] 1. ay anapara</t>
        </is>
      </c>
      <c r="B26" s="13">
        <f>B22-B25</f>
        <v/>
      </c>
      <c r="C26" s="7" t="inlineStr">
        <is>
          <t>Taksit - faiz. Borç azaldıkça faiz payı azalır, anapara payı artar (Hesap sayfasındaki amortisman tablosu).</t>
        </is>
      </c>
    </row>
    <row r="27">
      <c r="A27" s="3" t="inlineStr">
        <is>
          <t>[S] Sağlama: kapalı formülle taksit - B22</t>
        </is>
      </c>
      <c r="B27" s="14">
        <f>B17*B18/(1-(1+B18)^(-B19))-B22</f>
        <v/>
      </c>
      <c r="C27" s="7" t="inlineStr">
        <is>
          <t>Kapalı formül: taksit = kredi * oran / (1 - (1 + oran) ^ (-vade)); bu hücrede =B17*B18/(1-(1+B18)^(-B19))-B22 (el kitabı f03, 2.3; İleri 1). 0 çıkmalı: iki yol aynı taksiti verir.</t>
        </is>
      </c>
    </row>
    <row r="28">
      <c r="A28" s="3" t="inlineStr">
        <is>
          <t>[Y] Sık hata: kredi × oran × vade</t>
        </is>
      </c>
      <c r="B28" s="13">
        <f>B17*B18*B19</f>
        <v/>
      </c>
      <c r="C28" s="7" t="inlineStr">
        <is>
          <t>Yanlış tahmin: faizin bütün vade boyunca ilk borç üzerinden işlediğini varsayar.</t>
        </is>
      </c>
    </row>
    <row r="29">
      <c r="A29" s="3" t="inlineStr">
        <is>
          <t>[Y] Sık hata - gerçek toplam faiz</t>
        </is>
      </c>
      <c r="B29" s="13">
        <f>B28-B24</f>
        <v/>
      </c>
      <c r="C29" s="7" t="inlineStr">
        <is>
          <t>Fark büyük, çünkü faiz her ay azalan kalan borca işler.</t>
        </is>
      </c>
    </row>
    <row r="30">
      <c r="A30" s="8" t="inlineStr">
        <is>
          <t>F3. Aylık oranın yıllık karşılığı: nominal ve etkin</t>
        </is>
      </c>
    </row>
    <row r="31">
      <c r="A31" s="3" t="inlineStr">
        <is>
          <t>[G] Aylık oran</t>
        </is>
      </c>
      <c r="B31" s="10" t="n">
        <v>0.03</v>
      </c>
    </row>
    <row r="32">
      <c r="A32" s="3" t="inlineStr">
        <is>
          <t>[G] Yıldaki ay sayısı</t>
        </is>
      </c>
      <c r="B32" s="11" t="n">
        <v>12</v>
      </c>
    </row>
    <row r="33">
      <c r="A33" s="3" t="inlineStr">
        <is>
          <t>[H] Yıllık nominal oran</t>
        </is>
      </c>
      <c r="B33" s="15">
        <f>B31*B32</f>
        <v/>
      </c>
      <c r="C33" s="7" t="inlineStr">
        <is>
          <t>Aylık oran × yıldaki ay sayısı. Faizin faize işlemesini hesaba katmaz.</t>
        </is>
      </c>
    </row>
    <row r="34">
      <c r="A34" s="3" t="inlineStr">
        <is>
          <t>[H] Yıllık etkin oran</t>
        </is>
      </c>
      <c r="B34" s="15">
        <f>(1+B31)^B32-1</f>
        <v/>
      </c>
      <c r="C34" s="7" t="inlineStr">
        <is>
          <t>(1 + aylık oran) ^ ay sayısı - 1: para bir yılda gerçekte bu kadar büyür (H2'deki bileşik faiz).</t>
        </is>
      </c>
    </row>
    <row r="35">
      <c r="A35" s="3" t="inlineStr">
        <is>
          <t>[S] Sağlama: EFFECT</t>
        </is>
      </c>
      <c r="B35" s="15">
        <f>EFFECT(B33,B32)</f>
        <v/>
      </c>
      <c r="C35" s="7" t="inlineStr">
        <is>
          <t>Formül: =EFFECT(B33,B32)</t>
        </is>
      </c>
    </row>
    <row r="36">
      <c r="A36" s="3" t="inlineStr">
        <is>
          <t>[S] Fark</t>
        </is>
      </c>
      <c r="B36" s="14">
        <f>B34-B35</f>
        <v/>
      </c>
    </row>
    <row r="37">
      <c r="A37" s="3" t="inlineStr">
        <is>
          <t>[Y] Yorum</t>
        </is>
      </c>
      <c r="C37" s="7" t="inlineStr">
        <is>
          <t>Bir oran görüldüğünde sorulacaklar: aylık mı yıllık mı, nominal mi etkin mi? Efektif yıllık faiz oranı (EYFO) başka bir sayıdır: vergi ve ücretleri de içerir (F4).</t>
        </is>
      </c>
    </row>
    <row r="39">
      <c r="A39" s="8" t="inlineStr">
        <is>
          <t>F4. Kredinin maliyetine neler girer? (yalnız okuma)</t>
        </is>
      </c>
    </row>
    <row r="40">
      <c r="A40" s="3" t="inlineStr">
        <is>
          <t>Akdi faiz: sözleşmede yazan faiz oranı. F2'deki aylık oran budur.</t>
        </is>
      </c>
    </row>
    <row r="41">
      <c r="A41" s="3" t="inlineStr">
        <is>
          <t>KKDF (Kaynak Kullanımını Destekleme Fonu) kesintisi: tüketici kredisinde %15, faiz tutarı üzerinden alınır.</t>
        </is>
      </c>
    </row>
    <row r="42">
      <c r="A42" s="3" t="inlineStr">
        <is>
          <t>BSMV (Banka ve Sigorta Muameleleri Vergisi): tüketici kredisinde %15, bankanın lehine aldığı paralar üzerinden alınır; bunların başlıcası faizdir. Anapara üzerinden ikisi de alınmaz.</t>
        </is>
      </c>
    </row>
    <row r="43">
      <c r="A43" s="3" t="inlineStr">
        <is>
          <t>Tahsis ücreti: tüketici kredisinde kullandırılan anaparanın binde beşini geçemez (100.000 TL'de en çok 500 TL).</t>
        </is>
      </c>
    </row>
    <row r="44">
      <c r="A44" s="3" t="inlineStr">
        <is>
          <t>EYFO: faiz, vergi ve ücretler dahil kredinin toplam maliyetinin yıllık yüzde değeri; noter masrafları hariç. Banka sözleşmeden önce bilgi formunda vermek zorundadır.</t>
        </is>
      </c>
    </row>
    <row r="45">
      <c r="A45" s="7" t="inlineStr">
        <is>
          <t>Kaynaklar ve okunduğu tarih (29 Eylül 2026): el kitabı f03, 4. ve 7. bölüm. Oranlar yeni bir kararla değişebilir; kullanmadan önce kaynağına bakılır.</t>
        </is>
      </c>
    </row>
    <row r="47">
      <c r="A47" s="8" t="inlineStr">
        <is>
          <t>Pratik: öğrencinin yazacağı formüller (P1-P3)</t>
        </is>
      </c>
    </row>
    <row r="48">
      <c r="A48" s="7" t="inlineStr">
        <is>
          <t>Sarı hücreler doldurulur. Girdiler mavi hücrelerdedir; formül hücre başvurusuyla yazılır, içine sayı yazılmaz. F1-F3 örnektir.</t>
        </is>
      </c>
    </row>
    <row r="49">
      <c r="A49" s="2" t="inlineStr">
        <is>
          <t>P1. İskonto: gelecekteki tutarın bugünkü değeri kaç TL?</t>
        </is>
      </c>
    </row>
    <row r="50">
      <c r="A50" s="3" t="inlineStr">
        <is>
          <t>[G] Gelecekteki tutar</t>
        </is>
      </c>
      <c r="B50" s="9" t="n">
        <v>75000</v>
      </c>
    </row>
    <row r="51">
      <c r="A51" s="3" t="inlineStr">
        <is>
          <t>[G] Yıllık oran</t>
        </is>
      </c>
      <c r="B51" s="10" t="n">
        <v>0.38</v>
      </c>
    </row>
    <row r="52">
      <c r="A52" s="3" t="inlineStr">
        <is>
          <t>[G] Süre (yıl)</t>
        </is>
      </c>
      <c r="B52" s="11" t="n">
        <v>2</v>
      </c>
    </row>
    <row r="53">
      <c r="A53" s="3" t="inlineStr">
        <is>
          <t>[H] Bugünkü değer</t>
        </is>
      </c>
      <c r="B53" s="16" t="n"/>
    </row>
    <row r="55">
      <c r="A55" s="2" t="inlineStr">
        <is>
          <t>P2. Taksit ve toplam faiz</t>
        </is>
      </c>
    </row>
    <row r="56">
      <c r="A56" s="3" t="inlineStr">
        <is>
          <t>[G] Kredi tutarı</t>
        </is>
      </c>
      <c r="B56" s="9" t="n">
        <v>80000</v>
      </c>
    </row>
    <row r="57">
      <c r="A57" s="3" t="inlineStr">
        <is>
          <t>[G] Aylık faiz oranı</t>
        </is>
      </c>
      <c r="B57" s="10" t="n">
        <v>0.026</v>
      </c>
    </row>
    <row r="58">
      <c r="A58" s="3" t="inlineStr">
        <is>
          <t>[G] Vade (ay)</t>
        </is>
      </c>
      <c r="B58" s="11" t="n">
        <v>18</v>
      </c>
    </row>
    <row r="59">
      <c r="A59" s="3" t="inlineStr">
        <is>
          <t>[H] Aylık taksit</t>
        </is>
      </c>
      <c r="B59" s="16" t="n"/>
    </row>
    <row r="60">
      <c r="A60" s="3" t="inlineStr">
        <is>
          <t>[H] Toplam faiz</t>
        </is>
      </c>
      <c r="B60" s="16" t="n"/>
    </row>
    <row r="62">
      <c r="A62" s="2" t="inlineStr">
        <is>
          <t>P3. Aylık oranın yıllık karşılığı</t>
        </is>
      </c>
    </row>
    <row r="63">
      <c r="A63" s="3" t="inlineStr">
        <is>
          <t>[G] Aylık oran</t>
        </is>
      </c>
      <c r="B63" s="10" t="n">
        <v>0.0275</v>
      </c>
    </row>
    <row r="64">
      <c r="A64" s="3" t="inlineStr">
        <is>
          <t>[G] Yıldaki ay sayısı</t>
        </is>
      </c>
      <c r="B64" s="11" t="n">
        <v>12</v>
      </c>
    </row>
    <row r="65">
      <c r="A65" s="3" t="inlineStr">
        <is>
          <t>[H] Yıllık nominal oran</t>
        </is>
      </c>
      <c r="B65" s="17" t="n"/>
    </row>
    <row r="66">
      <c r="A66" s="3" t="inlineStr">
        <is>
          <t>[H] Yıllık etkin oran</t>
        </is>
      </c>
      <c r="B66" s="17" t="n"/>
    </row>
    <row r="68">
      <c r="A68" s="8" t="inlineStr">
        <is>
          <t>Finans alıştırması (ileri/ev): tahsis ücretli kredinin maliyeti, IRR ile</t>
        </is>
      </c>
    </row>
    <row r="69">
      <c r="A69" s="7" t="inlineStr">
        <is>
          <t>IRR (iç verim oranı) Hesap sayfasında görüldükten sonra yapılır. İleri 2 aynı krediyi RATE ile çözer; iki yol aynı aylık maliyeti vermeli.</t>
        </is>
      </c>
    </row>
    <row r="70">
      <c r="A70" s="7" t="inlineStr">
        <is>
          <t>Soru: Banka krediyi akdi aylık faiz ve vadeyle verir, ama kredi verilirken peşin tahsis ücreti keser. Vergiler dışarıda bırakılır. Aylık ve yıllık maliyet ne olur?</t>
        </is>
      </c>
    </row>
    <row r="71">
      <c r="A71" s="3" t="inlineStr">
        <is>
          <t>[G] Kredi tutarı</t>
        </is>
      </c>
      <c r="B71" s="9" t="n">
        <v>100000</v>
      </c>
    </row>
    <row r="72">
      <c r="A72" s="3" t="inlineStr">
        <is>
          <t>[G] Akdi aylık faiz</t>
        </is>
      </c>
      <c r="B72" s="10" t="n">
        <v>0.03</v>
      </c>
    </row>
    <row r="73">
      <c r="A73" s="3" t="inlineStr">
        <is>
          <t>[G] Vade (ay)</t>
        </is>
      </c>
      <c r="B73" s="11" t="n">
        <v>12</v>
      </c>
    </row>
    <row r="74">
      <c r="A74" s="3" t="inlineStr">
        <is>
          <t>[G] Tahsis ücreti (peşin kesilen)</t>
        </is>
      </c>
      <c r="B74" s="9" t="n">
        <v>500</v>
      </c>
    </row>
    <row r="75">
      <c r="A75" s="3" t="inlineStr">
        <is>
          <t>[G] Yıldaki ay sayısı</t>
        </is>
      </c>
      <c r="B75" s="11" t="n">
        <v>12</v>
      </c>
    </row>
    <row r="76">
      <c r="A76" s="3" t="inlineStr">
        <is>
          <t>[H] Aylık taksit</t>
        </is>
      </c>
      <c r="B76" s="16" t="n"/>
    </row>
    <row r="77">
      <c r="A77" s="3" t="inlineStr">
        <is>
          <t>[H] Ele geçen tutar</t>
        </is>
      </c>
      <c r="B77" s="16" t="n"/>
    </row>
    <row r="78">
      <c r="A78" s="3" t="inlineStr">
        <is>
          <t>[İ] İşaret</t>
        </is>
      </c>
      <c r="C78" s="7" t="inlineStr">
        <is>
          <t>Bugün ele geçen para artı, her ay ödenen taksit eksi. IRR'a ikisi de işaretiyle verilir.</t>
        </is>
      </c>
    </row>
    <row r="79">
      <c r="A79" s="18" t="inlineStr">
        <is>
          <t>Ay</t>
        </is>
      </c>
      <c r="B79" s="18" t="inlineStr">
        <is>
          <t>Nakit akışı</t>
        </is>
      </c>
    </row>
    <row r="80">
      <c r="A80" s="19" t="n">
        <v>0</v>
      </c>
      <c r="B80" s="16" t="n"/>
      <c r="C80" s="7" t="inlineStr">
        <is>
          <t>Ay 0 = bugün: ele geçen tutar (artı). Gri 0 yapısaldır.</t>
        </is>
      </c>
    </row>
    <row r="81">
      <c r="A81" s="20">
        <f>A80+1</f>
        <v/>
      </c>
      <c r="B81" s="16" t="n"/>
      <c r="C81" s="7" t="inlineStr">
        <is>
          <t>Ay 1-12: her ay ödenen taksit (eksi).</t>
        </is>
      </c>
    </row>
    <row r="82">
      <c r="A82" s="20">
        <f>A81+1</f>
        <v/>
      </c>
      <c r="B82" s="16" t="n"/>
    </row>
    <row r="83">
      <c r="A83" s="20">
        <f>A82+1</f>
        <v/>
      </c>
      <c r="B83" s="16" t="n"/>
    </row>
    <row r="84">
      <c r="A84" s="20">
        <f>A83+1</f>
        <v/>
      </c>
      <c r="B84" s="16" t="n"/>
    </row>
    <row r="85">
      <c r="A85" s="20">
        <f>A84+1</f>
        <v/>
      </c>
      <c r="B85" s="16" t="n"/>
    </row>
    <row r="86">
      <c r="A86" s="20">
        <f>A85+1</f>
        <v/>
      </c>
      <c r="B86" s="16" t="n"/>
    </row>
    <row r="87">
      <c r="A87" s="20">
        <f>A86+1</f>
        <v/>
      </c>
      <c r="B87" s="16" t="n"/>
    </row>
    <row r="88">
      <c r="A88" s="20">
        <f>A87+1</f>
        <v/>
      </c>
      <c r="B88" s="16" t="n"/>
    </row>
    <row r="89">
      <c r="A89" s="20">
        <f>A88+1</f>
        <v/>
      </c>
      <c r="B89" s="16" t="n"/>
    </row>
    <row r="90">
      <c r="A90" s="20">
        <f>A89+1</f>
        <v/>
      </c>
      <c r="B90" s="16" t="n"/>
    </row>
    <row r="91">
      <c r="A91" s="20">
        <f>A90+1</f>
        <v/>
      </c>
      <c r="B91" s="16" t="n"/>
    </row>
    <row r="92">
      <c r="A92" s="20">
        <f>A91+1</f>
        <v/>
      </c>
      <c r="B92" s="16" t="n"/>
    </row>
    <row r="93">
      <c r="A93" s="3" t="inlineStr">
        <is>
          <t>[H] Aylık maliyet (IRR)</t>
        </is>
      </c>
      <c r="B93" s="17" t="n"/>
      <c r="C93" s="7" t="inlineStr">
        <is>
          <t>Formül: =IRR(B80:B92)</t>
        </is>
      </c>
    </row>
    <row r="94">
      <c r="A94" s="3" t="inlineStr">
        <is>
          <t>[S] İleri 2'deki RATE sonucuyla fark</t>
        </is>
      </c>
      <c r="B94" s="21" t="n"/>
      <c r="C94" s="7" t="inlineStr">
        <is>
          <t>İleri!B21: aynı kredinin RATE ile bulunan aylık maliyeti. İki sayfadaki girdiler aynıyken 0 çıkmalı.</t>
        </is>
      </c>
    </row>
    <row r="95">
      <c r="A95" s="3" t="inlineStr">
        <is>
          <t>[H] Vergiler hariç yıllık maliyet</t>
        </is>
      </c>
      <c r="B95" s="17" t="n"/>
    </row>
    <row r="96">
      <c r="A96" s="3" t="inlineStr">
        <is>
          <t>[H] Ücretsiz durumda yıllık oran</t>
        </is>
      </c>
      <c r="B96" s="17" t="n"/>
    </row>
    <row r="97">
      <c r="A97" s="3" t="inlineStr">
        <is>
          <t>[G] Oran farkını puana çevirme sayısı</t>
        </is>
      </c>
      <c r="B97" s="11" t="n">
        <v>100</v>
      </c>
      <c r="C97" s="7" t="inlineStr">
        <is>
          <t>Birim çevirme, modelin varsayımı değil. H2'nin Finans sayfasındaki yüzde puan kalıbı.</t>
        </is>
      </c>
    </row>
    <row r="98">
      <c r="A98" s="3" t="inlineStr">
        <is>
          <t>[Y] Ücretin yıllık maliyete eklediği (yüzde puan)</t>
        </is>
      </c>
      <c r="B98" s="22" t="n"/>
      <c r="C98" s="7" t="inlineStr">
        <is>
          <t>İki oranın farkı yüzde biçimiyle gösterilirse Excel sayının yanına % koyar; oysa bu bir puan farkıdır. Çevirme sayısıyla çarpınca sonuç puan olarak okunur.</t>
        </is>
      </c>
    </row>
    <row r="99">
      <c r="A99" s="3" t="inlineStr">
        <is>
          <t>[Y] Yorum</t>
        </is>
      </c>
      <c r="C99" s="7" t="inlineStr">
        <is>
          <t>Ücret akdi faizi değiştirmez, ama yıllık maliyeti artırır. Gerçek EYFO vergileri de içerdiği için bundan yüksektir (el kitabı f03, 2.6 ve 2.9). Ücrete vergi uygulanıp uygulanmadığı doğrulanmadı.</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7"/>
  <sheetViews>
    <sheetView showGridLines="1" workbookViewId="0">
      <selection activeCell="A1" sqref="A1"/>
    </sheetView>
  </sheetViews>
  <sheetFormatPr baseColWidth="8" defaultRowHeight="15"/>
  <cols>
    <col width="44" customWidth="1" min="1" max="1"/>
    <col width="16" customWidth="1" min="2" max="2"/>
    <col width="80" customWidth="1" min="3" max="3"/>
  </cols>
  <sheetData>
    <row r="1">
      <c r="A1" s="1" t="inlineStr">
        <is>
          <t>Girdiler: Hesap ve Cikti sayfalarının bütün varsayımları bu sayfada</t>
        </is>
      </c>
    </row>
    <row r="2">
      <c r="A2" s="7" t="inlineStr">
        <is>
          <t>Mavi hücreler değiştirilebilir. Hesap ve Cikti sayfaları kendiliğinden güncellenir. Bu sayfada formül yok.</t>
        </is>
      </c>
    </row>
    <row r="4">
      <c r="A4" s="8" t="inlineStr">
        <is>
          <t>Örnek 1: düzenli birikim</t>
        </is>
      </c>
    </row>
    <row r="5">
      <c r="A5" s="3" t="inlineStr">
        <is>
          <t>Aylık faiz oranı</t>
        </is>
      </c>
      <c r="B5" s="10" t="n">
        <v>0.03</v>
      </c>
      <c r="C5" s="7" t="inlineStr">
        <is>
          <t>Her ay bakiyeye işleyen faiz. %3 ile 0,03 aynı sayıdır.</t>
        </is>
      </c>
    </row>
    <row r="6">
      <c r="A6" s="3" t="inlineStr">
        <is>
          <t>Dönem sayısı (ay)</t>
        </is>
      </c>
      <c r="B6" s="11" t="n">
        <v>12</v>
      </c>
      <c r="C6" s="7" t="inlineStr">
        <is>
          <t>Kaç ay para yatırılacağı.</t>
        </is>
      </c>
    </row>
    <row r="7">
      <c r="A7" s="3" t="inlineStr">
        <is>
          <t>Her ay yatırılan tutar</t>
        </is>
      </c>
      <c r="B7" s="9" t="n">
        <v>1000</v>
      </c>
      <c r="C7" s="7" t="inlineStr">
        <is>
          <t>Her ayın sonunda yatırılır. Burada artı yazılır; işaret Hesap sayfasında verilir.</t>
        </is>
      </c>
    </row>
    <row r="9">
      <c r="A9" s="8" t="inlineStr">
        <is>
          <t>Örnek 1b: tersine hesap (H2'deki bileşik faiz)</t>
        </is>
      </c>
    </row>
    <row r="10">
      <c r="A10" s="3" t="inlineStr">
        <is>
          <t>Hedef tutar (süre sonunda)</t>
        </is>
      </c>
      <c r="B10" s="9" t="n">
        <v>27440</v>
      </c>
      <c r="C10" s="7" t="inlineStr">
        <is>
          <t>H2'de bulunan sonuç. Soru: bunun için bugün ne yatırılmalı?</t>
        </is>
      </c>
    </row>
    <row r="11">
      <c r="A11" s="3" t="inlineStr">
        <is>
          <t>Yıllık faiz oranı</t>
        </is>
      </c>
      <c r="B11" s="10" t="n">
        <v>0.4</v>
      </c>
    </row>
    <row r="12">
      <c r="A12" s="3" t="inlineStr">
        <is>
          <t>Süre (yıl)</t>
        </is>
      </c>
      <c r="B12" s="11" t="n">
        <v>3</v>
      </c>
    </row>
    <row r="14">
      <c r="A14" s="8" t="inlineStr">
        <is>
          <t>Örnek 2: kredi</t>
        </is>
      </c>
    </row>
    <row r="15">
      <c r="A15" s="3" t="inlineStr">
        <is>
          <t>Kredi tutarı</t>
        </is>
      </c>
      <c r="B15" s="9" t="n">
        <v>100000</v>
      </c>
      <c r="C15" s="7" t="inlineStr">
        <is>
          <t>Bankadan bugün alınan para.</t>
        </is>
      </c>
    </row>
    <row r="16">
      <c r="A16" s="3" t="inlineStr">
        <is>
          <t>Aylık faiz oranı</t>
        </is>
      </c>
      <c r="B16" s="10" t="n">
        <v>0.03</v>
      </c>
      <c r="C16" s="7" t="inlineStr">
        <is>
          <t>Öğretim amaçlı varsayım; bir bankanın gerçek teklifi değildir.</t>
        </is>
      </c>
    </row>
    <row r="17">
      <c r="A17" s="3" t="inlineStr">
        <is>
          <t>Vade (ay)</t>
        </is>
      </c>
      <c r="B17" s="11" t="n">
        <v>12</v>
      </c>
    </row>
    <row r="19">
      <c r="A19" s="8" t="inlineStr">
        <is>
          <t>Örnek 3: proje (NPV ve IRR)</t>
        </is>
      </c>
    </row>
    <row r="20">
      <c r="A20" s="3" t="inlineStr">
        <is>
          <t>İstenen getiri (yıllık iskonto oranı)</t>
        </is>
      </c>
      <c r="B20" s="10" t="n">
        <v>0.1</v>
      </c>
      <c r="C20" s="7" t="inlineStr">
        <is>
          <t>Bu projeye para bağlamak için istenen en düşük yıllık getiri.</t>
        </is>
      </c>
    </row>
    <row r="21">
      <c r="A21" s="18" t="inlineStr">
        <is>
          <t>Ne zaman?</t>
        </is>
      </c>
      <c r="B21" s="18" t="inlineStr">
        <is>
          <t>Nakit akışı</t>
        </is>
      </c>
    </row>
    <row r="22">
      <c r="A22" s="3" t="inlineStr">
        <is>
          <t>Dönem 0 (bugün): yatırım</t>
        </is>
      </c>
      <c r="B22" s="9" t="n">
        <v>-10000</v>
      </c>
      <c r="C22" s="7" t="inlineStr">
        <is>
          <t>Cepten çıkan: eksi.</t>
        </is>
      </c>
    </row>
    <row r="23">
      <c r="A23" s="3" t="inlineStr">
        <is>
          <t>Dönem 1 sonu: giriş</t>
        </is>
      </c>
      <c r="B23" s="9" t="n">
        <v>3000</v>
      </c>
      <c r="C23" s="7" t="inlineStr">
        <is>
          <t>Cebe giren: artı.</t>
        </is>
      </c>
    </row>
    <row r="24">
      <c r="A24" s="3" t="inlineStr">
        <is>
          <t>Dönem 2 sonu: giriş</t>
        </is>
      </c>
      <c r="B24" s="9" t="n">
        <v>4200</v>
      </c>
    </row>
    <row r="25">
      <c r="A25" s="3" t="inlineStr">
        <is>
          <t>Dönem 3 sonu: giriş</t>
        </is>
      </c>
      <c r="B25" s="9" t="n">
        <v>6800</v>
      </c>
    </row>
    <row r="27">
      <c r="A27" s="7" t="inlineStr">
        <is>
          <t>Öğretim için seçilmiş örnek değerler; gerçek bir proje ya da banka teklifi değildir. Bir dönem burada bir yıldır.</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89"/>
  <sheetViews>
    <sheetView showGridLines="1"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20" customWidth="1" min="7" max="7"/>
    <col width="24" customWidth="1" min="8" max="8"/>
    <col width="13" customWidth="1" min="9" max="9"/>
    <col width="15" customWidth="1" min="10" max="10"/>
  </cols>
  <sheetData>
    <row r="1">
      <c r="A1" s="1" t="inlineStr">
        <is>
          <t>Hesap: çalışılmış örnekler</t>
        </is>
      </c>
    </row>
    <row r="2">
      <c r="A2" s="7" t="inlineStr">
        <is>
          <t>Yeşil hücreler değeri Girdiler sayfasından çeker. Siyah hücreler bu sayfanın hesaplarıdır. Formül, hücreye tıklanınca formül çubuğunda görünür.</t>
        </is>
      </c>
    </row>
    <row r="4">
      <c r="A4" s="8" t="inlineStr">
        <is>
          <t>Örnek 1: düzenli birikim (FV)</t>
        </is>
      </c>
    </row>
    <row r="5">
      <c r="A5" s="3" t="inlineStr">
        <is>
          <t>[G] Aylık faiz oranı</t>
        </is>
      </c>
      <c r="B5" s="23">
        <f>Girdiler!B5</f>
        <v/>
      </c>
      <c r="C5" s="7" t="inlineStr">
        <is>
          <t>Bu hücrede =Girdiler!B5 yazar: 'Girdiler sayfasının B5 hücresini getir' demektir. Yeşil yazı bunu gösterir.</t>
        </is>
      </c>
    </row>
    <row r="6">
      <c r="A6" s="3" t="inlineStr">
        <is>
          <t>[G] Dönem sayısı (ay)</t>
        </is>
      </c>
      <c r="B6" s="24">
        <f>Girdiler!B6</f>
        <v/>
      </c>
    </row>
    <row r="7">
      <c r="A7" s="3" t="inlineStr">
        <is>
          <t>[G] Her ay yatırılan tutar</t>
        </is>
      </c>
      <c r="B7" s="25">
        <f>Girdiler!B7</f>
        <v/>
      </c>
    </row>
    <row r="8">
      <c r="A8" s="3" t="inlineStr">
        <is>
          <t>[D] Oran ve dönem aynı birimde mi?</t>
        </is>
      </c>
      <c r="C8" s="7" t="inlineStr">
        <is>
          <t>Evet: aylık oran, aylık dönem, aylık katkı. Biri yıllık olsaydı önce aynı birime çevrilirdi.</t>
        </is>
      </c>
    </row>
    <row r="9">
      <c r="A9" s="3" t="inlineStr">
        <is>
          <t>[İ] İşaret</t>
        </is>
      </c>
      <c r="C9" s="7" t="inlineStr">
        <is>
          <t>Yatırılan para cepten çıkar: formülde -B7 yazılır. Sonuç artı çıkar: süre sonunda geri dönen para.</t>
        </is>
      </c>
    </row>
    <row r="10">
      <c r="A10" s="3" t="inlineStr">
        <is>
          <t>[H] Dönem sonunda birikim</t>
        </is>
      </c>
      <c r="B10" s="13">
        <f>FV(B5,B6,-B7)</f>
        <v/>
      </c>
      <c r="C10" s="7" t="inlineStr">
        <is>
          <t>Formül: =FV(B5,B6,-B7)</t>
        </is>
      </c>
    </row>
    <row r="11">
      <c r="A11" s="3" t="inlineStr">
        <is>
          <t>[İ] Deneme: katkı artı verilirse</t>
        </is>
      </c>
      <c r="B11" s="13">
        <f>FV(B5,B6,B7)</f>
        <v/>
      </c>
      <c r="C11" s="7" t="inlineStr">
        <is>
          <t>Formül: =FV(B5,B6,B7). Aynı sayı, eksi işaretle: Excel sonucu ödenecek para olarak okur.</t>
        </is>
      </c>
    </row>
    <row r="12">
      <c r="A12" s="7" t="inlineStr">
        <is>
          <t>FV'nin içini görmek için aynı hesabı ay ay yapan tablo. H6'da aynı hesap Python döngüsüyle yazılır.</t>
        </is>
      </c>
    </row>
    <row r="13" ht="27" customHeight="1">
      <c r="A13" s="18" t="inlineStr">
        <is>
          <t>Ay</t>
        </is>
      </c>
      <c r="B13" s="18" t="inlineStr">
        <is>
          <t>Dönem başı bakiye</t>
        </is>
      </c>
      <c r="C13" s="18" t="inlineStr">
        <is>
          <t>Faiz</t>
        </is>
      </c>
      <c r="D13" s="18" t="inlineStr">
        <is>
          <t>Katkı</t>
        </is>
      </c>
      <c r="E13" s="18" t="inlineStr">
        <is>
          <t>Dönem sonu bakiye</t>
        </is>
      </c>
    </row>
    <row r="14">
      <c r="A14" s="19" t="n">
        <v>0</v>
      </c>
      <c r="E14" s="26" t="n">
        <v>0</v>
      </c>
      <c r="F14" s="7" t="inlineStr">
        <is>
          <t>Ay 0 = bugün. Gri 0'lar yapısaldır: hesap boş başlar (FV'de 4. argümanın boş bırakılması da bunu söyler).</t>
        </is>
      </c>
    </row>
    <row r="15">
      <c r="A15" s="20">
        <f>A14+1</f>
        <v/>
      </c>
      <c r="B15" s="13">
        <f>E14</f>
        <v/>
      </c>
      <c r="C15" s="13">
        <f>B15*$B$5</f>
        <v/>
      </c>
      <c r="D15" s="13">
        <f>$B$7</f>
        <v/>
      </c>
      <c r="E15" s="13">
        <f>B15+C15+D15</f>
        <v/>
      </c>
      <c r="F15" s="7" t="inlineStr">
        <is>
          <t>Faiz: =B15*$B$5   Katkı: =$B$7   Dönem sonu: =B15+C15+D15</t>
        </is>
      </c>
    </row>
    <row r="16">
      <c r="A16" s="20">
        <f>A15+1</f>
        <v/>
      </c>
      <c r="B16" s="13">
        <f>E15</f>
        <v/>
      </c>
      <c r="C16" s="13">
        <f>B16*$B$5</f>
        <v/>
      </c>
      <c r="D16" s="13">
        <f>$B$7</f>
        <v/>
      </c>
      <c r="E16" s="13">
        <f>B16+C16+D16</f>
        <v/>
      </c>
    </row>
    <row r="17">
      <c r="A17" s="20">
        <f>A16+1</f>
        <v/>
      </c>
      <c r="B17" s="13">
        <f>E16</f>
        <v/>
      </c>
      <c r="C17" s="13">
        <f>B17*$B$5</f>
        <v/>
      </c>
      <c r="D17" s="13">
        <f>$B$7</f>
        <v/>
      </c>
      <c r="E17" s="13">
        <f>B17+C17+D17</f>
        <v/>
      </c>
    </row>
    <row r="18">
      <c r="A18" s="20">
        <f>A17+1</f>
        <v/>
      </c>
      <c r="B18" s="13">
        <f>E17</f>
        <v/>
      </c>
      <c r="C18" s="13">
        <f>B18*$B$5</f>
        <v/>
      </c>
      <c r="D18" s="13">
        <f>$B$7</f>
        <v/>
      </c>
      <c r="E18" s="13">
        <f>B18+C18+D18</f>
        <v/>
      </c>
    </row>
    <row r="19">
      <c r="A19" s="20">
        <f>A18+1</f>
        <v/>
      </c>
      <c r="B19" s="13">
        <f>E18</f>
        <v/>
      </c>
      <c r="C19" s="13">
        <f>B19*$B$5</f>
        <v/>
      </c>
      <c r="D19" s="13">
        <f>$B$7</f>
        <v/>
      </c>
      <c r="E19" s="13">
        <f>B19+C19+D19</f>
        <v/>
      </c>
    </row>
    <row r="20">
      <c r="A20" s="20">
        <f>A19+1</f>
        <v/>
      </c>
      <c r="B20" s="13">
        <f>E19</f>
        <v/>
      </c>
      <c r="C20" s="13">
        <f>B20*$B$5</f>
        <v/>
      </c>
      <c r="D20" s="13">
        <f>$B$7</f>
        <v/>
      </c>
      <c r="E20" s="13">
        <f>B20+C20+D20</f>
        <v/>
      </c>
    </row>
    <row r="21">
      <c r="A21" s="20">
        <f>A20+1</f>
        <v/>
      </c>
      <c r="B21" s="13">
        <f>E20</f>
        <v/>
      </c>
      <c r="C21" s="13">
        <f>B21*$B$5</f>
        <v/>
      </c>
      <c r="D21" s="13">
        <f>$B$7</f>
        <v/>
      </c>
      <c r="E21" s="13">
        <f>B21+C21+D21</f>
        <v/>
      </c>
    </row>
    <row r="22">
      <c r="A22" s="20">
        <f>A21+1</f>
        <v/>
      </c>
      <c r="B22" s="13">
        <f>E21</f>
        <v/>
      </c>
      <c r="C22" s="13">
        <f>B22*$B$5</f>
        <v/>
      </c>
      <c r="D22" s="13">
        <f>$B$7</f>
        <v/>
      </c>
      <c r="E22" s="13">
        <f>B22+C22+D22</f>
        <v/>
      </c>
    </row>
    <row r="23">
      <c r="A23" s="20">
        <f>A22+1</f>
        <v/>
      </c>
      <c r="B23" s="13">
        <f>E22</f>
        <v/>
      </c>
      <c r="C23" s="13">
        <f>B23*$B$5</f>
        <v/>
      </c>
      <c r="D23" s="13">
        <f>$B$7</f>
        <v/>
      </c>
      <c r="E23" s="13">
        <f>B23+C23+D23</f>
        <v/>
      </c>
    </row>
    <row r="24">
      <c r="A24" s="20">
        <f>A23+1</f>
        <v/>
      </c>
      <c r="B24" s="13">
        <f>E23</f>
        <v/>
      </c>
      <c r="C24" s="13">
        <f>B24*$B$5</f>
        <v/>
      </c>
      <c r="D24" s="13">
        <f>$B$7</f>
        <v/>
      </c>
      <c r="E24" s="13">
        <f>B24+C24+D24</f>
        <v/>
      </c>
    </row>
    <row r="25">
      <c r="A25" s="20">
        <f>A24+1</f>
        <v/>
      </c>
      <c r="B25" s="13">
        <f>E24</f>
        <v/>
      </c>
      <c r="C25" s="13">
        <f>B25*$B$5</f>
        <v/>
      </c>
      <c r="D25" s="13">
        <f>$B$7</f>
        <v/>
      </c>
      <c r="E25" s="13">
        <f>B25+C25+D25</f>
        <v/>
      </c>
    </row>
    <row r="26">
      <c r="A26" s="20">
        <f>A25+1</f>
        <v/>
      </c>
      <c r="B26" s="13">
        <f>E25</f>
        <v/>
      </c>
      <c r="C26" s="13">
        <f>B26*$B$5</f>
        <v/>
      </c>
      <c r="D26" s="13">
        <f>$B$7</f>
        <v/>
      </c>
      <c r="E26" s="13">
        <f>B26+C26+D26</f>
        <v/>
      </c>
    </row>
    <row r="28">
      <c r="A28" s="3" t="inlineStr">
        <is>
          <t>[S] Sağlama: tablonun son bakiyesi - FV</t>
        </is>
      </c>
      <c r="B28" s="14">
        <f>E26-B10</f>
        <v/>
      </c>
      <c r="C28" s="7" t="inlineStr">
        <is>
          <t>0 çıkmalı: iki farklı yol aynı sonucu verir.</t>
        </is>
      </c>
    </row>
    <row r="30">
      <c r="A30" s="8" t="inlineStr">
        <is>
          <t>Örnek 1b: tersine hesap (PV)</t>
        </is>
      </c>
    </row>
    <row r="31">
      <c r="A31" s="3" t="inlineStr">
        <is>
          <t>[G] Hedef tutar (süre sonunda)</t>
        </is>
      </c>
      <c r="B31" s="25">
        <f>Girdiler!B10</f>
        <v/>
      </c>
    </row>
    <row r="32">
      <c r="A32" s="3" t="inlineStr">
        <is>
          <t>[G] Yıllık faiz oranı</t>
        </is>
      </c>
      <c r="B32" s="23">
        <f>Girdiler!B11</f>
        <v/>
      </c>
      <c r="C32" s="7" t="inlineStr">
        <is>
          <t>[D] Oran yıllık, süre yıl: birimler uyumlu.</t>
        </is>
      </c>
    </row>
    <row r="33">
      <c r="A33" s="3" t="inlineStr">
        <is>
          <t>[G] Süre (yıl)</t>
        </is>
      </c>
      <c r="B33" s="24">
        <f>Girdiler!B12</f>
        <v/>
      </c>
    </row>
    <row r="34">
      <c r="A34" s="3" t="inlineStr">
        <is>
          <t>[H] Bugün yatırılması gereken</t>
        </is>
      </c>
      <c r="B34" s="13">
        <f>PV(B32,B33,0,B31)</f>
        <v/>
      </c>
      <c r="C34" s="7" t="inlineStr">
        <is>
          <t>Formül: =PV(B32,B33,0,B31). 0: arada düzenli ödeme yok. [İ] Sonuç eksi: bugün cepten çıkan para.</t>
        </is>
      </c>
    </row>
    <row r="35">
      <c r="A35" s="3" t="inlineStr">
        <is>
          <t>[S] Sağlama: H2 formülüyle ileri taşı</t>
        </is>
      </c>
      <c r="B35" s="13">
        <f>-B34*(1+B32)^B33</f>
        <v/>
      </c>
      <c r="C35" s="7" t="inlineStr">
        <is>
          <t>H2'deki =B1*(1+B2)^B3 kalıbı. Baştaki eksi, eksi tutarı artıya çevirir.</t>
        </is>
      </c>
    </row>
    <row r="36">
      <c r="A36" s="3" t="inlineStr">
        <is>
          <t>[S] Fark</t>
        </is>
      </c>
      <c r="B36" s="14">
        <f>B35-B31</f>
        <v/>
      </c>
    </row>
    <row r="38">
      <c r="A38" s="8" t="inlineStr">
        <is>
          <t>Örnek 2: kredi taksiti ve amortisman tablosu</t>
        </is>
      </c>
    </row>
    <row r="39">
      <c r="A39" s="3" t="inlineStr">
        <is>
          <t>[G] Kredi tutarı</t>
        </is>
      </c>
      <c r="B39" s="25">
        <f>Girdiler!B15</f>
        <v/>
      </c>
    </row>
    <row r="40">
      <c r="A40" s="3" t="inlineStr">
        <is>
          <t>[G] Aylık faiz oranı</t>
        </is>
      </c>
      <c r="B40" s="23">
        <f>Girdiler!B16</f>
        <v/>
      </c>
    </row>
    <row r="41">
      <c r="A41" s="3" t="inlineStr">
        <is>
          <t>[G] Vade (ay)</t>
        </is>
      </c>
      <c r="B41" s="24">
        <f>Girdiler!B17</f>
        <v/>
      </c>
      <c r="C41" s="7" t="inlineStr">
        <is>
          <t>[D] Oran aylık, vade ay: birimler uyumlu.</t>
        </is>
      </c>
    </row>
    <row r="42">
      <c r="A42" s="3" t="inlineStr">
        <is>
          <t>[İ] İşaret</t>
        </is>
      </c>
      <c r="C42" s="7" t="inlineStr">
        <is>
          <t>Kredi borçluya gelen para (artı). PMT taksiti eksi verir; başına eksi konarak taksit artı gösterilir.</t>
        </is>
      </c>
    </row>
    <row r="43">
      <c r="A43" s="3" t="inlineStr">
        <is>
          <t>[H] Aylık taksit</t>
        </is>
      </c>
      <c r="B43" s="13">
        <f>-PMT(B40,B41,B39)</f>
        <v/>
      </c>
      <c r="C43" s="7" t="inlineStr">
        <is>
          <t>Formül: =-PMT(B40,B41,B39)</t>
        </is>
      </c>
    </row>
    <row r="45">
      <c r="A45" s="7" t="inlineStr">
        <is>
          <t>Amortisman tablosu: her taksitin ne kadarı faize, ne kadarı borca gider? $ işaretli başvurular sürüklerken sabit kalır.</t>
        </is>
      </c>
    </row>
    <row r="46" ht="27" customHeight="1">
      <c r="A46" s="18" t="inlineStr">
        <is>
          <t>Dönem</t>
        </is>
      </c>
      <c r="B46" s="18" t="inlineStr">
        <is>
          <t>Başlangıç borcu</t>
        </is>
      </c>
      <c r="C46" s="18" t="inlineStr">
        <is>
          <t>Faiz</t>
        </is>
      </c>
      <c r="D46" s="18" t="inlineStr">
        <is>
          <t>Anapara</t>
        </is>
      </c>
      <c r="E46" s="18" t="inlineStr">
        <is>
          <t>Taksit</t>
        </is>
      </c>
      <c r="F46" s="18" t="inlineStr">
        <is>
          <t>Kalan borç</t>
        </is>
      </c>
      <c r="G46" s="18" t="inlineStr">
        <is>
          <t>Sağlama: IPMT</t>
        </is>
      </c>
      <c r="H46" s="18" t="inlineStr">
        <is>
          <t>Sağlama: PPMT</t>
        </is>
      </c>
      <c r="I46" s="18" t="inlineStr">
        <is>
          <t>Fark (faiz)</t>
        </is>
      </c>
      <c r="J46" s="18" t="inlineStr">
        <is>
          <t>Fark (anapara)</t>
        </is>
      </c>
    </row>
    <row r="47">
      <c r="A47" s="19" t="n">
        <v>0</v>
      </c>
      <c r="F47" s="13">
        <f>B39</f>
        <v/>
      </c>
      <c r="G47" s="7" t="inlineStr">
        <is>
          <t>Dönem 0 = bugün: kredi alınır, borç kredi tutarı kadardır.</t>
        </is>
      </c>
    </row>
    <row r="48">
      <c r="A48" s="20">
        <f>A47+1</f>
        <v/>
      </c>
      <c r="B48" s="13">
        <f>F47</f>
        <v/>
      </c>
      <c r="C48" s="13">
        <f>B48*$B$40</f>
        <v/>
      </c>
      <c r="D48" s="13">
        <f>E48-C48</f>
        <v/>
      </c>
      <c r="E48" s="13">
        <f>$B$43</f>
        <v/>
      </c>
      <c r="F48" s="13">
        <f>B48-D48</f>
        <v/>
      </c>
      <c r="G48" s="13">
        <f>-IPMT($B$40,A48,$B$41,$B$39)</f>
        <v/>
      </c>
      <c r="H48" s="13">
        <f>-PPMT($B$40,A48,$B$41,$B$39)</f>
        <v/>
      </c>
      <c r="I48" s="14">
        <f>C48-G48</f>
        <v/>
      </c>
      <c r="J48" s="14">
        <f>D48-H48</f>
        <v/>
      </c>
    </row>
    <row r="49">
      <c r="A49" s="20">
        <f>A48+1</f>
        <v/>
      </c>
      <c r="B49" s="13">
        <f>F48</f>
        <v/>
      </c>
      <c r="C49" s="13">
        <f>B49*$B$40</f>
        <v/>
      </c>
      <c r="D49" s="13">
        <f>E49-C49</f>
        <v/>
      </c>
      <c r="E49" s="13">
        <f>$B$43</f>
        <v/>
      </c>
      <c r="F49" s="13">
        <f>B49-D49</f>
        <v/>
      </c>
      <c r="G49" s="13">
        <f>-IPMT($B$40,A49,$B$41,$B$39)</f>
        <v/>
      </c>
      <c r="H49" s="13">
        <f>-PPMT($B$40,A49,$B$41,$B$39)</f>
        <v/>
      </c>
      <c r="I49" s="14">
        <f>C49-G49</f>
        <v/>
      </c>
      <c r="J49" s="14">
        <f>D49-H49</f>
        <v/>
      </c>
    </row>
    <row r="50">
      <c r="A50" s="20">
        <f>A49+1</f>
        <v/>
      </c>
      <c r="B50" s="13">
        <f>F49</f>
        <v/>
      </c>
      <c r="C50" s="13">
        <f>B50*$B$40</f>
        <v/>
      </c>
      <c r="D50" s="13">
        <f>E50-C50</f>
        <v/>
      </c>
      <c r="E50" s="13">
        <f>$B$43</f>
        <v/>
      </c>
      <c r="F50" s="13">
        <f>B50-D50</f>
        <v/>
      </c>
      <c r="G50" s="13">
        <f>-IPMT($B$40,A50,$B$41,$B$39)</f>
        <v/>
      </c>
      <c r="H50" s="13">
        <f>-PPMT($B$40,A50,$B$41,$B$39)</f>
        <v/>
      </c>
      <c r="I50" s="14">
        <f>C50-G50</f>
        <v/>
      </c>
      <c r="J50" s="14">
        <f>D50-H50</f>
        <v/>
      </c>
    </row>
    <row r="51">
      <c r="A51" s="20">
        <f>A50+1</f>
        <v/>
      </c>
      <c r="B51" s="13">
        <f>F50</f>
        <v/>
      </c>
      <c r="C51" s="13">
        <f>B51*$B$40</f>
        <v/>
      </c>
      <c r="D51" s="13">
        <f>E51-C51</f>
        <v/>
      </c>
      <c r="E51" s="13">
        <f>$B$43</f>
        <v/>
      </c>
      <c r="F51" s="13">
        <f>B51-D51</f>
        <v/>
      </c>
      <c r="G51" s="13">
        <f>-IPMT($B$40,A51,$B$41,$B$39)</f>
        <v/>
      </c>
      <c r="H51" s="13">
        <f>-PPMT($B$40,A51,$B$41,$B$39)</f>
        <v/>
      </c>
      <c r="I51" s="14">
        <f>C51-G51</f>
        <v/>
      </c>
      <c r="J51" s="14">
        <f>D51-H51</f>
        <v/>
      </c>
    </row>
    <row r="52">
      <c r="A52" s="20">
        <f>A51+1</f>
        <v/>
      </c>
      <c r="B52" s="13">
        <f>F51</f>
        <v/>
      </c>
      <c r="C52" s="13">
        <f>B52*$B$40</f>
        <v/>
      </c>
      <c r="D52" s="13">
        <f>E52-C52</f>
        <v/>
      </c>
      <c r="E52" s="13">
        <f>$B$43</f>
        <v/>
      </c>
      <c r="F52" s="13">
        <f>B52-D52</f>
        <v/>
      </c>
      <c r="G52" s="13">
        <f>-IPMT($B$40,A52,$B$41,$B$39)</f>
        <v/>
      </c>
      <c r="H52" s="13">
        <f>-PPMT($B$40,A52,$B$41,$B$39)</f>
        <v/>
      </c>
      <c r="I52" s="14">
        <f>C52-G52</f>
        <v/>
      </c>
      <c r="J52" s="14">
        <f>D52-H52</f>
        <v/>
      </c>
    </row>
    <row r="53">
      <c r="A53" s="20">
        <f>A52+1</f>
        <v/>
      </c>
      <c r="B53" s="13">
        <f>F52</f>
        <v/>
      </c>
      <c r="C53" s="13">
        <f>B53*$B$40</f>
        <v/>
      </c>
      <c r="D53" s="13">
        <f>E53-C53</f>
        <v/>
      </c>
      <c r="E53" s="13">
        <f>$B$43</f>
        <v/>
      </c>
      <c r="F53" s="13">
        <f>B53-D53</f>
        <v/>
      </c>
      <c r="G53" s="13">
        <f>-IPMT($B$40,A53,$B$41,$B$39)</f>
        <v/>
      </c>
      <c r="H53" s="13">
        <f>-PPMT($B$40,A53,$B$41,$B$39)</f>
        <v/>
      </c>
      <c r="I53" s="14">
        <f>C53-G53</f>
        <v/>
      </c>
      <c r="J53" s="14">
        <f>D53-H53</f>
        <v/>
      </c>
    </row>
    <row r="54">
      <c r="A54" s="20">
        <f>A53+1</f>
        <v/>
      </c>
      <c r="B54" s="13">
        <f>F53</f>
        <v/>
      </c>
      <c r="C54" s="13">
        <f>B54*$B$40</f>
        <v/>
      </c>
      <c r="D54" s="13">
        <f>E54-C54</f>
        <v/>
      </c>
      <c r="E54" s="13">
        <f>$B$43</f>
        <v/>
      </c>
      <c r="F54" s="13">
        <f>B54-D54</f>
        <v/>
      </c>
      <c r="G54" s="13">
        <f>-IPMT($B$40,A54,$B$41,$B$39)</f>
        <v/>
      </c>
      <c r="H54" s="13">
        <f>-PPMT($B$40,A54,$B$41,$B$39)</f>
        <v/>
      </c>
      <c r="I54" s="14">
        <f>C54-G54</f>
        <v/>
      </c>
      <c r="J54" s="14">
        <f>D54-H54</f>
        <v/>
      </c>
    </row>
    <row r="55">
      <c r="A55" s="20">
        <f>A54+1</f>
        <v/>
      </c>
      <c r="B55" s="13">
        <f>F54</f>
        <v/>
      </c>
      <c r="C55" s="13">
        <f>B55*$B$40</f>
        <v/>
      </c>
      <c r="D55" s="13">
        <f>E55-C55</f>
        <v/>
      </c>
      <c r="E55" s="13">
        <f>$B$43</f>
        <v/>
      </c>
      <c r="F55" s="13">
        <f>B55-D55</f>
        <v/>
      </c>
      <c r="G55" s="13">
        <f>-IPMT($B$40,A55,$B$41,$B$39)</f>
        <v/>
      </c>
      <c r="H55" s="13">
        <f>-PPMT($B$40,A55,$B$41,$B$39)</f>
        <v/>
      </c>
      <c r="I55" s="14">
        <f>C55-G55</f>
        <v/>
      </c>
      <c r="J55" s="14">
        <f>D55-H55</f>
        <v/>
      </c>
    </row>
    <row r="56">
      <c r="A56" s="20">
        <f>A55+1</f>
        <v/>
      </c>
      <c r="B56" s="13">
        <f>F55</f>
        <v/>
      </c>
      <c r="C56" s="13">
        <f>B56*$B$40</f>
        <v/>
      </c>
      <c r="D56" s="13">
        <f>E56-C56</f>
        <v/>
      </c>
      <c r="E56" s="13">
        <f>$B$43</f>
        <v/>
      </c>
      <c r="F56" s="13">
        <f>B56-D56</f>
        <v/>
      </c>
      <c r="G56" s="13">
        <f>-IPMT($B$40,A56,$B$41,$B$39)</f>
        <v/>
      </c>
      <c r="H56" s="13">
        <f>-PPMT($B$40,A56,$B$41,$B$39)</f>
        <v/>
      </c>
      <c r="I56" s="14">
        <f>C56-G56</f>
        <v/>
      </c>
      <c r="J56" s="14">
        <f>D56-H56</f>
        <v/>
      </c>
    </row>
    <row r="57">
      <c r="A57" s="20">
        <f>A56+1</f>
        <v/>
      </c>
      <c r="B57" s="13">
        <f>F56</f>
        <v/>
      </c>
      <c r="C57" s="13">
        <f>B57*$B$40</f>
        <v/>
      </c>
      <c r="D57" s="13">
        <f>E57-C57</f>
        <v/>
      </c>
      <c r="E57" s="13">
        <f>$B$43</f>
        <v/>
      </c>
      <c r="F57" s="13">
        <f>B57-D57</f>
        <v/>
      </c>
      <c r="G57" s="13">
        <f>-IPMT($B$40,A57,$B$41,$B$39)</f>
        <v/>
      </c>
      <c r="H57" s="13">
        <f>-PPMT($B$40,A57,$B$41,$B$39)</f>
        <v/>
      </c>
      <c r="I57" s="14">
        <f>C57-G57</f>
        <v/>
      </c>
      <c r="J57" s="14">
        <f>D57-H57</f>
        <v/>
      </c>
    </row>
    <row r="58">
      <c r="A58" s="20">
        <f>A57+1</f>
        <v/>
      </c>
      <c r="B58" s="13">
        <f>F57</f>
        <v/>
      </c>
      <c r="C58" s="13">
        <f>B58*$B$40</f>
        <v/>
      </c>
      <c r="D58" s="13">
        <f>E58-C58</f>
        <v/>
      </c>
      <c r="E58" s="13">
        <f>$B$43</f>
        <v/>
      </c>
      <c r="F58" s="13">
        <f>B58-D58</f>
        <v/>
      </c>
      <c r="G58" s="13">
        <f>-IPMT($B$40,A58,$B$41,$B$39)</f>
        <v/>
      </c>
      <c r="H58" s="13">
        <f>-PPMT($B$40,A58,$B$41,$B$39)</f>
        <v/>
      </c>
      <c r="I58" s="14">
        <f>C58-G58</f>
        <v/>
      </c>
      <c r="J58" s="14">
        <f>D58-H58</f>
        <v/>
      </c>
    </row>
    <row r="59">
      <c r="A59" s="20">
        <f>A58+1</f>
        <v/>
      </c>
      <c r="B59" s="13">
        <f>F58</f>
        <v/>
      </c>
      <c r="C59" s="13">
        <f>B59*$B$40</f>
        <v/>
      </c>
      <c r="D59" s="13">
        <f>E59-C59</f>
        <v/>
      </c>
      <c r="E59" s="13">
        <f>$B$43</f>
        <v/>
      </c>
      <c r="F59" s="13">
        <f>B59-D59</f>
        <v/>
      </c>
      <c r="G59" s="13">
        <f>-IPMT($B$40,A59,$B$41,$B$39)</f>
        <v/>
      </c>
      <c r="H59" s="13">
        <f>-PPMT($B$40,A59,$B$41,$B$39)</f>
        <v/>
      </c>
      <c r="I59" s="14">
        <f>C59-G59</f>
        <v/>
      </c>
      <c r="J59" s="14">
        <f>D59-H59</f>
        <v/>
      </c>
    </row>
    <row r="60">
      <c r="A60" s="2" t="inlineStr">
        <is>
          <t>Toplam</t>
        </is>
      </c>
      <c r="C60" s="13">
        <f>SUM(C48:C59)</f>
        <v/>
      </c>
      <c r="D60" s="13">
        <f>SUM(D48:D59)</f>
        <v/>
      </c>
      <c r="E60" s="13">
        <f>SUM(E48:E59)</f>
        <v/>
      </c>
      <c r="F60" s="7" t="inlineStr">
        <is>
          <t>C60 toplam faiz, D60 toplam anapara (kredi tutarına eşit olmalı), E60 toplam ödeme.</t>
        </is>
      </c>
    </row>
    <row r="62">
      <c r="A62" s="3" t="inlineStr">
        <is>
          <t>[S] Son dönemde kalan borç</t>
        </is>
      </c>
      <c r="B62" s="14">
        <f>F59</f>
        <v/>
      </c>
      <c r="C62" s="7" t="inlineStr">
        <is>
          <t>0 olmalı. 0 değilse tabloda bir formül hatası var.</t>
        </is>
      </c>
    </row>
    <row r="63">
      <c r="A63" s="3" t="inlineStr">
        <is>
          <t>[S] Toplam anapara - kredi tutarı</t>
        </is>
      </c>
      <c r="B63" s="14">
        <f>D60-B39</f>
        <v/>
      </c>
    </row>
    <row r="64">
      <c r="A64" s="3" t="inlineStr">
        <is>
          <t>[H] Toplam ödeme</t>
        </is>
      </c>
      <c r="B64" s="13">
        <f>B43*B41</f>
        <v/>
      </c>
      <c r="C64" s="7" t="inlineStr">
        <is>
          <t>Taksit × vade</t>
        </is>
      </c>
    </row>
    <row r="65">
      <c r="A65" s="3" t="inlineStr">
        <is>
          <t>[H] Toplam faiz</t>
        </is>
      </c>
      <c r="B65" s="13">
        <f>B64-B39</f>
        <v/>
      </c>
      <c r="C65" s="7" t="inlineStr">
        <is>
          <t>Toplam ödeme - kredi tutarı</t>
        </is>
      </c>
    </row>
    <row r="66">
      <c r="A66" s="3" t="inlineStr">
        <is>
          <t>[S] Toplam faiz: tablo - hesap</t>
        </is>
      </c>
      <c r="B66" s="14">
        <f>C60-B65</f>
        <v/>
      </c>
    </row>
    <row r="68">
      <c r="A68" s="8" t="inlineStr">
        <is>
          <t>Örnek 3: proje değerlendirme (NPV ve IRR)</t>
        </is>
      </c>
    </row>
    <row r="69">
      <c r="A69" s="3" t="inlineStr">
        <is>
          <t>[G] İstenen getiri (iskonto oranı)</t>
        </is>
      </c>
      <c r="B69" s="23">
        <f>Girdiler!B20</f>
        <v/>
      </c>
      <c r="C69" s="7" t="inlineStr">
        <is>
          <t>[D] Oran yıllık, bir dönem bir yıl: birimler uyumlu.</t>
        </is>
      </c>
    </row>
    <row r="70">
      <c r="A70" s="7" t="inlineStr">
        <is>
          <t>Bugünkü değer = nakit akışı / (1 + oran) ^ dönem. Dönem 0 bugündür, iskonto edilmez.</t>
        </is>
      </c>
    </row>
    <row r="71" ht="27" customHeight="1">
      <c r="A71" s="18" t="inlineStr">
        <is>
          <t>Dönem</t>
        </is>
      </c>
      <c r="B71" s="18" t="inlineStr">
        <is>
          <t>Nakit akışı</t>
        </is>
      </c>
      <c r="C71" s="18" t="inlineStr">
        <is>
          <t>Bugünkü değeri</t>
        </is>
      </c>
      <c r="D71" s="18" t="inlineStr">
        <is>
          <t>NPV(tüm akışlar) nasıl sayar</t>
        </is>
      </c>
    </row>
    <row r="72">
      <c r="A72" s="19" t="n">
        <v>0</v>
      </c>
      <c r="B72" s="25">
        <f>Girdiler!B22</f>
        <v/>
      </c>
      <c r="C72" s="13">
        <f>B72/(1+$B$69)^A72</f>
        <v/>
      </c>
      <c r="D72" s="13">
        <f>B72/(1+$B$69)^(A72+1)</f>
        <v/>
      </c>
      <c r="E72" s="7" t="inlineStr">
        <is>
          <t>C: doğru zamanlama. D: her akışı bir dönem fazla iskonto eder (yatırım dahil).</t>
        </is>
      </c>
    </row>
    <row r="73">
      <c r="A73" s="20">
        <f>A72+1</f>
        <v/>
      </c>
      <c r="B73" s="25">
        <f>Girdiler!B23</f>
        <v/>
      </c>
      <c r="C73" s="13">
        <f>B73/(1+$B$69)^A73</f>
        <v/>
      </c>
      <c r="D73" s="13">
        <f>B73/(1+$B$69)^(A73+1)</f>
        <v/>
      </c>
    </row>
    <row r="74">
      <c r="A74" s="20">
        <f>A73+1</f>
        <v/>
      </c>
      <c r="B74" s="25">
        <f>Girdiler!B24</f>
        <v/>
      </c>
      <c r="C74" s="13">
        <f>B74/(1+$B$69)^A74</f>
        <v/>
      </c>
      <c r="D74" s="13">
        <f>B74/(1+$B$69)^(A74+1)</f>
        <v/>
      </c>
    </row>
    <row r="75">
      <c r="A75" s="20">
        <f>A74+1</f>
        <v/>
      </c>
      <c r="B75" s="25">
        <f>Girdiler!B25</f>
        <v/>
      </c>
      <c r="C75" s="13">
        <f>B75/(1+$B$69)^A75</f>
        <v/>
      </c>
      <c r="D75" s="13">
        <f>B75/(1+$B$69)^(A75+1)</f>
        <v/>
      </c>
    </row>
    <row r="76">
      <c r="A76" s="2" t="inlineStr">
        <is>
          <t>Toplam</t>
        </is>
      </c>
      <c r="C76" s="13">
        <f>SUM(C72:C75)</f>
        <v/>
      </c>
      <c r="D76" s="13">
        <f>SUM(D72:D75)</f>
        <v/>
      </c>
    </row>
    <row r="77">
      <c r="A77" s="3" t="inlineStr">
        <is>
          <t>[İ] İşaret</t>
        </is>
      </c>
      <c r="C77" s="7" t="inlineStr">
        <is>
          <t>Bugünkü yatırım eksi (cepten çıkan), gelecekteki girişler artı.</t>
        </is>
      </c>
    </row>
    <row r="78">
      <c r="A78" s="3" t="inlineStr">
        <is>
          <t>[H] NPV, doğru kurulum</t>
        </is>
      </c>
      <c r="B78" s="13">
        <f>NPV(B69,B73:B75)+B72</f>
        <v/>
      </c>
      <c r="C78" s="7" t="inlineStr">
        <is>
          <t>Formül: =NPV(B69,B73:B75)+B72. Bugünkü yatırım NPV'nin dışında kalır, sonra eklenir.</t>
        </is>
      </c>
    </row>
    <row r="79">
      <c r="A79" s="3" t="inlineStr">
        <is>
          <t>[H] NPV, TUZAK kurulum (yanlış)</t>
        </is>
      </c>
      <c r="B79" s="13">
        <f>NPV(B69,B72:B75)</f>
        <v/>
      </c>
      <c r="C79" s="7" t="inlineStr">
        <is>
          <t>Formül: =NPV(B69,B72:B75). Bugünkü yatırımı da bir dönem sonra sayar. Ayrıntı hücre notundadır.</t>
        </is>
      </c>
    </row>
    <row r="80">
      <c r="A80" s="3" t="inlineStr">
        <is>
          <t>[S] Doğru NPV - elle toplam (C76)</t>
        </is>
      </c>
      <c r="B80" s="14">
        <f>B78-C76</f>
        <v/>
      </c>
    </row>
    <row r="81">
      <c r="A81" s="3" t="inlineStr">
        <is>
          <t>[S] Tuzak NPV - kaydırılmış toplam (D76)</t>
        </is>
      </c>
      <c r="B81" s="14">
        <f>B79-D76</f>
        <v/>
      </c>
    </row>
    <row r="82">
      <c r="A82" s="3" t="inlineStr">
        <is>
          <t>[S] Doğru NPV / tuzak NPV</t>
        </is>
      </c>
      <c r="B82" s="27">
        <f>B78/B79</f>
        <v/>
      </c>
    </row>
    <row r="83">
      <c r="A83" s="3" t="inlineStr">
        <is>
          <t>[S] 1 + oran</t>
        </is>
      </c>
      <c r="B83" s="27">
        <f>1+B69</f>
        <v/>
      </c>
      <c r="C83" s="7" t="inlineStr">
        <is>
          <t>B82 ile aynı: tuzak her şeyi bir dönem fazla iskonto eder.</t>
        </is>
      </c>
    </row>
    <row r="85">
      <c r="A85" s="3" t="inlineStr">
        <is>
          <t>[H] İç verim oranı (IRR)</t>
        </is>
      </c>
      <c r="B85" s="15">
        <f>IRR(B72:B75)</f>
        <v/>
      </c>
      <c r="C85" s="7" t="inlineStr">
        <is>
          <t>Formül: =IRR(B72:B75). Yatırım dahil bütün akışlar verilir; zamanlama tuzağı yok.</t>
        </is>
      </c>
    </row>
    <row r="86">
      <c r="A86" s="3" t="inlineStr">
        <is>
          <t>[S] IRR ile NPV sıfır mı?</t>
        </is>
      </c>
      <c r="B86" s="14">
        <f>NPV(B85,B73:B75)+B72</f>
        <v/>
      </c>
      <c r="C86" s="7" t="inlineStr">
        <is>
          <t>IRR, NPV'yi sıfır yapan orandır.</t>
        </is>
      </c>
    </row>
    <row r="88">
      <c r="A88" s="3" t="inlineStr">
        <is>
          <t>[Y] Karar (NPV kuralı)</t>
        </is>
      </c>
      <c r="B88" s="28">
        <f>IF(B78&gt;0,"Kabul","Ret")</f>
        <v/>
      </c>
      <c r="C88" s="7" t="inlineStr">
        <is>
          <t>Formül: =IF(B78&gt;0,"Kabul","Ret"). NPV &gt; 0 ise kabul. IF fonksiyonu Karar sayfasında (K3) ayrıntılı işlenir.</t>
        </is>
      </c>
    </row>
    <row r="89">
      <c r="A89" s="3" t="inlineStr">
        <is>
          <t>[Y] Karar (IRR kuralı)</t>
        </is>
      </c>
      <c r="B89" s="28">
        <f>IF(B85&gt;B69,"Kabul","Ret")</f>
        <v/>
      </c>
      <c r="C89" s="7" t="inlineStr">
        <is>
          <t>Formül: =IF(B85&gt;B69,"Kabul","Ret"). IRR &gt; istenen getiri ise kabul. İki kural aynı kararı verir.</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8"/>
  <sheetViews>
    <sheetView showGridLines="1" workbookViewId="0">
      <selection activeCell="A1" sqref="A1"/>
    </sheetView>
  </sheetViews>
  <sheetFormatPr baseColWidth="8" defaultRowHeight="15"/>
  <cols>
    <col width="44" customWidth="1" min="1" max="1"/>
    <col width="18" customWidth="1" min="2" max="2"/>
    <col width="70" customWidth="1" min="3" max="3"/>
  </cols>
  <sheetData>
    <row r="1">
      <c r="A1" s="1" t="inlineStr">
        <is>
          <t>Çıktı: karar için özet</t>
        </is>
      </c>
    </row>
    <row r="2">
      <c r="A2" s="7" t="inlineStr">
        <is>
          <t>Bu sayfada hesap yok. Bütün hücreler Hesap sayfasına bağlı (yeşil). Girdiler'de bir sayı değişince burası da değişir.</t>
        </is>
      </c>
    </row>
    <row r="4">
      <c r="A4" s="8" t="inlineStr">
        <is>
          <t>Kredi (Örnek 2)</t>
        </is>
      </c>
    </row>
    <row r="5">
      <c r="A5" s="3" t="inlineStr">
        <is>
          <t>Kredi tutarı</t>
        </is>
      </c>
      <c r="B5" s="25">
        <f>Hesap!B39</f>
        <v/>
      </c>
    </row>
    <row r="6">
      <c r="A6" s="3" t="inlineStr">
        <is>
          <t>Aylık taksit</t>
        </is>
      </c>
      <c r="B6" s="25">
        <f>Hesap!B43</f>
        <v/>
      </c>
      <c r="C6" s="7" t="inlineStr">
        <is>
          <t>Formül: =Hesap!B43</t>
        </is>
      </c>
    </row>
    <row r="7">
      <c r="A7" s="3" t="inlineStr">
        <is>
          <t>Toplam ödeme</t>
        </is>
      </c>
      <c r="B7" s="25">
        <f>Hesap!B64</f>
        <v/>
      </c>
    </row>
    <row r="8">
      <c r="A8" s="3" t="inlineStr">
        <is>
          <t>Toplam faiz</t>
        </is>
      </c>
      <c r="B8" s="25">
        <f>Hesap!B65</f>
        <v/>
      </c>
    </row>
    <row r="10">
      <c r="A10" s="8" t="inlineStr">
        <is>
          <t>Birikim (Örnek 1)</t>
        </is>
      </c>
    </row>
    <row r="11">
      <c r="A11" s="3" t="inlineStr">
        <is>
          <t>Dönem sonunda birikim</t>
        </is>
      </c>
      <c r="B11" s="25">
        <f>Hesap!B10</f>
        <v/>
      </c>
    </row>
    <row r="12">
      <c r="A12" s="3" t="inlineStr">
        <is>
          <t>Hedef tutar için bugün yatırılacak</t>
        </is>
      </c>
      <c r="B12" s="25">
        <f>-Hesap!B34</f>
        <v/>
      </c>
      <c r="C12" s="7" t="inlineStr">
        <is>
          <t>Formül: =-Hesap!B34. Hesap'taki sonuç eksi (cepten çıkan); özette tutar olarak artı gösterilir.</t>
        </is>
      </c>
    </row>
    <row r="14">
      <c r="A14" s="8" t="inlineStr">
        <is>
          <t>Proje (Örnek 3)</t>
        </is>
      </c>
    </row>
    <row r="15">
      <c r="A15" s="3" t="inlineStr">
        <is>
          <t>İstenen getiri</t>
        </is>
      </c>
      <c r="B15" s="23">
        <f>Hesap!B69</f>
        <v/>
      </c>
    </row>
    <row r="16">
      <c r="A16" s="3" t="inlineStr">
        <is>
          <t>Net bugünkü değer (NPV)</t>
        </is>
      </c>
      <c r="B16" s="25">
        <f>Hesap!B78</f>
        <v/>
      </c>
    </row>
    <row r="17">
      <c r="A17" s="3" t="inlineStr">
        <is>
          <t>İç verim oranı (IRR)</t>
        </is>
      </c>
      <c r="B17" s="23">
        <f>Hesap!B85</f>
        <v/>
      </c>
    </row>
    <row r="18">
      <c r="A18" s="3" t="inlineStr">
        <is>
          <t>Karar</t>
        </is>
      </c>
      <c r="B18" s="29">
        <f>Hesap!B88</f>
        <v/>
      </c>
      <c r="C18" s="7" t="inlineStr">
        <is>
          <t>NPV kuralına göre karar (NPV &gt; 0 ise Kabul). IRR kuralının kararı Hesap!B89'da.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9"/>
  <sheetViews>
    <sheetView showGridLines="1" workbookViewId="0">
      <selection activeCell="A1" sqref="A1"/>
    </sheetView>
  </sheetViews>
  <sheetFormatPr baseColWidth="8" defaultRowHeight="15"/>
  <cols>
    <col width="50" customWidth="1" min="1" max="1"/>
    <col width="17" customWidth="1" min="2" max="2"/>
    <col width="17" customWidth="1" min="3" max="3"/>
    <col width="17" customWidth="1" min="4" max="4"/>
    <col width="17" customWidth="1" min="5" max="5"/>
    <col width="17" customWidth="1" min="6" max="6"/>
    <col width="60" customWidth="1" min="7" max="7"/>
  </cols>
  <sheetData>
    <row r="1">
      <c r="A1" s="1" t="inlineStr">
        <is>
          <t>Karar araçları: TCMB'nin kredi faizi, Goal Seek, Data Table, IF, AND, OR</t>
        </is>
      </c>
    </row>
    <row r="2">
      <c r="A2" s="7" t="inlineStr">
        <is>
          <t>Çalışılmış örnekler. Goal Seek ve Data Table masaüstü Excel'de çalışır; Web için Excel'de yoktur.</t>
        </is>
      </c>
    </row>
    <row r="5">
      <c r="A5" s="8" t="inlineStr">
        <is>
          <t>K1 TCMB'nin %63'ü nasıl hesaplanır? Metaverideki örnek</t>
        </is>
      </c>
    </row>
    <row r="6">
      <c r="A6" s="3" t="inlineStr">
        <is>
          <t>[G] Kredi tutarı (TL)</t>
        </is>
      </c>
      <c r="B6" s="9" t="n">
        <v>10000</v>
      </c>
    </row>
    <row r="7">
      <c r="A7" s="3" t="inlineStr">
        <is>
          <t>[G] Aylık ödeme (TL)</t>
        </is>
      </c>
      <c r="B7" s="9" t="n">
        <v>480</v>
      </c>
    </row>
    <row r="8">
      <c r="A8" s="3" t="inlineStr">
        <is>
          <t>[G] Vade (ay)</t>
        </is>
      </c>
      <c r="B8" s="11" t="n">
        <v>24</v>
      </c>
    </row>
    <row r="9">
      <c r="A9" s="3" t="inlineStr">
        <is>
          <t>[G] TCMB ihtiyaç kredisi faizi (4 Eylül 2026 haftası)</t>
        </is>
      </c>
      <c r="B9" s="10" t="n">
        <v>0.63</v>
      </c>
    </row>
    <row r="10">
      <c r="A10" s="3" t="inlineStr">
        <is>
          <t>[G] Yılda ay sayısı</t>
        </is>
      </c>
      <c r="B10" s="11" t="n">
        <v>12</v>
      </c>
    </row>
    <row r="11">
      <c r="A11" s="3" t="inlineStr">
        <is>
          <t>Birim çevirme: yüzde puan = oran × 100</t>
        </is>
      </c>
      <c r="B11" s="11" t="n">
        <v>100</v>
      </c>
    </row>
    <row r="13">
      <c r="A13" s="18" t="inlineStr">
        <is>
          <t>Ay</t>
        </is>
      </c>
      <c r="B13" s="18" t="inlineStr">
        <is>
          <t>Ödeme tarihi</t>
        </is>
      </c>
      <c r="C13" s="18" t="inlineStr">
        <is>
          <t>Nakit akışı (TL)</t>
        </is>
      </c>
    </row>
    <row r="14">
      <c r="A14" s="19" t="n">
        <v>0</v>
      </c>
      <c r="B14" s="30" t="n">
        <v>40909</v>
      </c>
      <c r="C14" s="13">
        <f>B6</f>
        <v/>
      </c>
      <c r="D14" s="7" t="inlineStr">
        <is>
          <t>Ay 0: kredi borçluya gelir (artı). Ay 1-24: ödeme borçludan çıkar (eksi).</t>
        </is>
      </c>
    </row>
    <row r="15">
      <c r="A15" s="20">
        <f>A14+1</f>
        <v/>
      </c>
      <c r="B15" s="30" t="n">
        <v>40940</v>
      </c>
      <c r="C15" s="13">
        <f>-$B$7</f>
        <v/>
      </c>
    </row>
    <row r="16">
      <c r="A16" s="20">
        <f>A15+1</f>
        <v/>
      </c>
      <c r="B16" s="30" t="n">
        <v>40969</v>
      </c>
      <c r="C16" s="13">
        <f>-$B$7</f>
        <v/>
      </c>
    </row>
    <row r="17">
      <c r="A17" s="20">
        <f>A16+1</f>
        <v/>
      </c>
      <c r="B17" s="30" t="n">
        <v>41000</v>
      </c>
      <c r="C17" s="13">
        <f>-$B$7</f>
        <v/>
      </c>
    </row>
    <row r="18">
      <c r="A18" s="20">
        <f>A17+1</f>
        <v/>
      </c>
      <c r="B18" s="30" t="n">
        <v>41030</v>
      </c>
      <c r="C18" s="13">
        <f>-$B$7</f>
        <v/>
      </c>
    </row>
    <row r="19">
      <c r="A19" s="20">
        <f>A18+1</f>
        <v/>
      </c>
      <c r="B19" s="30" t="n">
        <v>41061</v>
      </c>
      <c r="C19" s="13">
        <f>-$B$7</f>
        <v/>
      </c>
    </row>
    <row r="20">
      <c r="A20" s="20">
        <f>A19+1</f>
        <v/>
      </c>
      <c r="B20" s="30" t="n">
        <v>41091</v>
      </c>
      <c r="C20" s="13">
        <f>-$B$7</f>
        <v/>
      </c>
    </row>
    <row r="21">
      <c r="A21" s="20">
        <f>A20+1</f>
        <v/>
      </c>
      <c r="B21" s="30" t="n">
        <v>41122</v>
      </c>
      <c r="C21" s="13">
        <f>-$B$7</f>
        <v/>
      </c>
    </row>
    <row r="22">
      <c r="A22" s="20">
        <f>A21+1</f>
        <v/>
      </c>
      <c r="B22" s="30" t="n">
        <v>41153</v>
      </c>
      <c r="C22" s="13">
        <f>-$B$7</f>
        <v/>
      </c>
    </row>
    <row r="23">
      <c r="A23" s="20">
        <f>A22+1</f>
        <v/>
      </c>
      <c r="B23" s="30" t="n">
        <v>41183</v>
      </c>
      <c r="C23" s="13">
        <f>-$B$7</f>
        <v/>
      </c>
    </row>
    <row r="24">
      <c r="A24" s="20">
        <f>A23+1</f>
        <v/>
      </c>
      <c r="B24" s="30" t="n">
        <v>41214</v>
      </c>
      <c r="C24" s="13">
        <f>-$B$7</f>
        <v/>
      </c>
    </row>
    <row r="25">
      <c r="A25" s="20">
        <f>A24+1</f>
        <v/>
      </c>
      <c r="B25" s="30" t="n">
        <v>41244</v>
      </c>
      <c r="C25" s="13">
        <f>-$B$7</f>
        <v/>
      </c>
    </row>
    <row r="26">
      <c r="A26" s="20">
        <f>A25+1</f>
        <v/>
      </c>
      <c r="B26" s="30" t="n">
        <v>41275</v>
      </c>
      <c r="C26" s="13">
        <f>-$B$7</f>
        <v/>
      </c>
    </row>
    <row r="27">
      <c r="A27" s="20">
        <f>A26+1</f>
        <v/>
      </c>
      <c r="B27" s="30" t="n">
        <v>41306</v>
      </c>
      <c r="C27" s="13">
        <f>-$B$7</f>
        <v/>
      </c>
    </row>
    <row r="28">
      <c r="A28" s="20">
        <f>A27+1</f>
        <v/>
      </c>
      <c r="B28" s="30" t="n">
        <v>41334</v>
      </c>
      <c r="C28" s="13">
        <f>-$B$7</f>
        <v/>
      </c>
    </row>
    <row r="29">
      <c r="A29" s="20">
        <f>A28+1</f>
        <v/>
      </c>
      <c r="B29" s="30" t="n">
        <v>41365</v>
      </c>
      <c r="C29" s="13">
        <f>-$B$7</f>
        <v/>
      </c>
    </row>
    <row r="30">
      <c r="A30" s="20">
        <f>A29+1</f>
        <v/>
      </c>
      <c r="B30" s="30" t="n">
        <v>41395</v>
      </c>
      <c r="C30" s="13">
        <f>-$B$7</f>
        <v/>
      </c>
    </row>
    <row r="31">
      <c r="A31" s="20">
        <f>A30+1</f>
        <v/>
      </c>
      <c r="B31" s="30" t="n">
        <v>41426</v>
      </c>
      <c r="C31" s="13">
        <f>-$B$7</f>
        <v/>
      </c>
    </row>
    <row r="32">
      <c r="A32" s="20">
        <f>A31+1</f>
        <v/>
      </c>
      <c r="B32" s="30" t="n">
        <v>41456</v>
      </c>
      <c r="C32" s="13">
        <f>-$B$7</f>
        <v/>
      </c>
    </row>
    <row r="33">
      <c r="A33" s="20">
        <f>A32+1</f>
        <v/>
      </c>
      <c r="B33" s="30" t="n">
        <v>41487</v>
      </c>
      <c r="C33" s="13">
        <f>-$B$7</f>
        <v/>
      </c>
    </row>
    <row r="34">
      <c r="A34" s="20">
        <f>A33+1</f>
        <v/>
      </c>
      <c r="B34" s="30" t="n">
        <v>41518</v>
      </c>
      <c r="C34" s="13">
        <f>-$B$7</f>
        <v/>
      </c>
    </row>
    <row r="35">
      <c r="A35" s="20">
        <f>A34+1</f>
        <v/>
      </c>
      <c r="B35" s="30" t="n">
        <v>41548</v>
      </c>
      <c r="C35" s="13">
        <f>-$B$7</f>
        <v/>
      </c>
    </row>
    <row r="36">
      <c r="A36" s="20">
        <f>A35+1</f>
        <v/>
      </c>
      <c r="B36" s="30" t="n">
        <v>41579</v>
      </c>
      <c r="C36" s="13">
        <f>-$B$7</f>
        <v/>
      </c>
    </row>
    <row r="37">
      <c r="A37" s="20">
        <f>A36+1</f>
        <v/>
      </c>
      <c r="B37" s="30" t="n">
        <v>41609</v>
      </c>
      <c r="C37" s="13">
        <f>-$B$7</f>
        <v/>
      </c>
    </row>
    <row r="38">
      <c r="A38" s="20">
        <f>A37+1</f>
        <v/>
      </c>
      <c r="B38" s="30" t="n">
        <v>41640</v>
      </c>
      <c r="C38" s="13">
        <f>-$B$7</f>
        <v/>
      </c>
    </row>
    <row r="40">
      <c r="A40" s="3" t="inlineStr">
        <is>
          <t>[H] Aylık iç verim oranı</t>
        </is>
      </c>
      <c r="B40" s="31">
        <f>IRR(C14:C38)</f>
        <v/>
      </c>
      <c r="C40" s="7" t="inlineStr">
        <is>
          <t>Formül: =IRR(C14:C38)</t>
        </is>
      </c>
    </row>
    <row r="41">
      <c r="A41" s="3" t="inlineStr">
        <is>
          <t>[H] Yıllık bileşik karşılığı</t>
        </is>
      </c>
      <c r="B41" s="15">
        <f>(1+B40)^B10-1</f>
        <v/>
      </c>
      <c r="C41" s="7" t="inlineStr">
        <is>
          <t>(1 + aylık)^12 - 1. Metaverideki sonuç: %14,90.</t>
        </is>
      </c>
    </row>
    <row r="42">
      <c r="A42" s="3" t="inlineStr">
        <is>
          <t>[H] Tarihli akışla yıllık oran</t>
        </is>
      </c>
      <c r="B42" s="15">
        <f>XIRR(C14:C38,B14:B38)</f>
        <v/>
      </c>
      <c r="C42" s="7" t="inlineStr">
        <is>
          <t>Formül: =XIRR(C14:C38,B14:B38). Gün sayısı / 365 ile iskonto eder; TCMB'nin formülüyle aynı.</t>
        </is>
      </c>
    </row>
    <row r="43">
      <c r="A43" s="3" t="inlineStr">
        <is>
          <t>[H] İki yolun farkı (yüzde puan)</t>
        </is>
      </c>
      <c r="B43" s="32">
        <f>(B41-B42)*B11</f>
        <v/>
      </c>
      <c r="C43" s="7" t="inlineStr">
        <is>
          <t>Aylar eşit uzunlukta değildir (28-31 gün); fark bu yüzdendir ve küçüktür.</t>
        </is>
      </c>
    </row>
    <row r="44">
      <c r="A44" s="3" t="inlineStr">
        <is>
          <t>[H] %63'ün aylık bileşik karşılığı</t>
        </is>
      </c>
      <c r="B44" s="15">
        <f>(1+B9)^(1/B10)-1</f>
        <v/>
      </c>
    </row>
    <row r="45">
      <c r="A45" s="3" t="inlineStr">
        <is>
          <t>[H] Yanlış okuma: %63 / 12</t>
        </is>
      </c>
      <c r="B45" s="15">
        <f>B9/B10</f>
        <v/>
      </c>
      <c r="C45" s="7" t="inlineStr">
        <is>
          <t>Yıllık bileşik oran 12'ye bölünmez; bölme yalnız yıllık nominal orandan aylık orana geçişte kullanılır.</t>
        </is>
      </c>
    </row>
    <row r="47">
      <c r="A47" s="8" t="inlineStr">
        <is>
          <t>K2 İlan kredisi: taksit, yıllık karşılık ve Goal Seek</t>
        </is>
      </c>
    </row>
    <row r="48">
      <c r="A48" s="3" t="inlineStr">
        <is>
          <t>[G] Kredi tutarı (TL)</t>
        </is>
      </c>
      <c r="B48" s="9" t="n">
        <v>100000</v>
      </c>
    </row>
    <row r="49">
      <c r="A49" s="3" t="inlineStr">
        <is>
          <t>[G] Aylık akdi faiz oranı</t>
        </is>
      </c>
      <c r="B49" s="10" t="n">
        <v>0.04</v>
      </c>
    </row>
    <row r="50">
      <c r="A50" s="3" t="inlineStr">
        <is>
          <t>[G] Vade (ay)</t>
        </is>
      </c>
      <c r="B50" s="11" t="n">
        <v>12</v>
      </c>
    </row>
    <row r="51">
      <c r="A51" s="3" t="inlineStr">
        <is>
          <t>[G] Aylık net gelir (TL)</t>
        </is>
      </c>
      <c r="B51" s="9" t="n">
        <v>24000</v>
      </c>
    </row>
    <row r="52">
      <c r="A52" s="3" t="inlineStr">
        <is>
          <t>[G] Bütçe eşiği: taksit / gelir en çok</t>
        </is>
      </c>
      <c r="B52" s="10" t="n">
        <v>0.4</v>
      </c>
    </row>
    <row r="53">
      <c r="A53" s="3" t="inlineStr">
        <is>
          <t>[G] Ödenebilecek en yüksek taksit (TL)</t>
        </is>
      </c>
      <c r="B53" s="9" t="n">
        <v>7500</v>
      </c>
    </row>
    <row r="54">
      <c r="A54" s="3" t="inlineStr">
        <is>
          <t>[G] Vade üst sınırı (ay)</t>
        </is>
      </c>
      <c r="B54" s="11" t="n">
        <v>24</v>
      </c>
    </row>
    <row r="56">
      <c r="A56" s="3" t="inlineStr">
        <is>
          <t>[H] Aylık taksit</t>
        </is>
      </c>
      <c r="B56" s="13">
        <f>-PMT(B49,B50,B48)</f>
        <v/>
      </c>
      <c r="C56" s="7" t="inlineStr">
        <is>
          <t>Formül: =-PMT(B49,B50,B48)</t>
        </is>
      </c>
    </row>
    <row r="57">
      <c r="A57" s="3" t="inlineStr">
        <is>
          <t>[H] Toplam faiz</t>
        </is>
      </c>
      <c r="B57" s="13">
        <f>B56*B50-B48</f>
        <v/>
      </c>
    </row>
    <row r="58">
      <c r="A58" s="3" t="inlineStr">
        <is>
          <t>[H] Yıllık bileşik karşılığı</t>
        </is>
      </c>
      <c r="B58" s="15">
        <f>(1+B49)^B10-1</f>
        <v/>
      </c>
      <c r="C58" s="7" t="inlineStr">
        <is>
          <t>TCMB'nin %63'ü ile aynı türden oran (ücret ve vergiler hariç).</t>
        </is>
      </c>
    </row>
    <row r="59">
      <c r="A59" s="3" t="inlineStr">
        <is>
          <t>[H] Taksit / gelir</t>
        </is>
      </c>
      <c r="B59" s="15">
        <f>B56/B51</f>
        <v/>
      </c>
    </row>
    <row r="61">
      <c r="A61" s="3" t="inlineStr">
        <is>
          <t>[G] Goal Seek için kredi tutarı (By changing cell)</t>
        </is>
      </c>
      <c r="B61" s="9" t="n">
        <v>100000</v>
      </c>
    </row>
    <row r="62">
      <c r="A62" s="3" t="inlineStr">
        <is>
          <t>[H] Goal Seek için taksit (Set cell)</t>
        </is>
      </c>
      <c r="B62" s="13">
        <f>-PMT(B49,B50,B61)</f>
        <v/>
      </c>
      <c r="C62" s="7" t="inlineStr">
        <is>
          <t>Data &gt; What-If Analysis &gt; Goal Seek. Set cell: B62. To value: 7500. By changing cell: B61.</t>
        </is>
      </c>
    </row>
    <row r="63">
      <c r="C63" s="7" t="inlineStr">
        <is>
          <t>Goal Seek tek bir girdiyi değiştirir. Birden çok girdi ve kısıt için Solver kullanılır (12. oturum).</t>
        </is>
      </c>
    </row>
    <row r="64">
      <c r="A64" s="3" t="inlineStr">
        <is>
          <t>[S] Aynı soru PV ile</t>
        </is>
      </c>
      <c r="B64" s="13">
        <f>PV(B49,B50,-B53)</f>
        <v/>
      </c>
      <c r="C64" s="7" t="inlineStr">
        <is>
          <t>Formül: =PV(B49,B50,-B53). Goal Seek sonucu (B61) bu değere eşit çıkar.</t>
        </is>
      </c>
    </row>
    <row r="66">
      <c r="A66" s="8" t="inlineStr">
        <is>
          <t>K3 IF, AND, OR: bütçe kuralı</t>
        </is>
      </c>
    </row>
    <row r="67">
      <c r="A67" s="3" t="inlineStr">
        <is>
          <t>[H] IF: taksit / gelir eşiğin altında mı?</t>
        </is>
      </c>
      <c r="B67" s="28">
        <f>IF(B59&lt;=B52,"Uygun","Riskli")</f>
        <v/>
      </c>
      <c r="C67" s="7" t="inlineStr">
        <is>
          <t>Formül: =IF(B59&lt;=B52,"Uygun","Riskli")</t>
        </is>
      </c>
    </row>
    <row r="68">
      <c r="A68" s="3" t="inlineStr">
        <is>
          <t>[H] AND: bütçe uygun ve yıllık oran TCMB ortalamasının altında mı?</t>
        </is>
      </c>
      <c r="B68" s="28">
        <f>IF(AND(B59&lt;=B52,B58&lt;=B9),"İki koşul sağlanıyor","En az bir koşul sağlanmıyor")</f>
        <v/>
      </c>
      <c r="C68" s="7" t="inlineStr">
        <is>
          <t>Formül: =IF(AND(B59&lt;=B52,B58&lt;=B9),...). AND, bütün koşullar doğruysa TRUE verir.</t>
        </is>
      </c>
    </row>
    <row r="69">
      <c r="A69" s="3" t="inlineStr">
        <is>
          <t>[H] OR: bütçe ya da vade sınırı aşılır mı?</t>
        </is>
      </c>
      <c r="B69" s="28">
        <f>IF(OR(B59&gt;B52,B50&gt;B54),"Dikkat","Tamam")</f>
        <v/>
      </c>
      <c r="C69" s="7" t="inlineStr">
        <is>
          <t>Formül: =IF(OR(B59&gt;B52,B50&gt;B54),...). OR, koşullardan en az biri doğruysa TRUE verir.</t>
        </is>
      </c>
    </row>
    <row r="71">
      <c r="A71" s="8" t="inlineStr">
        <is>
          <t>K4 Tek değişkenli Data Table: aylık oran → taksit</t>
        </is>
      </c>
    </row>
    <row r="72">
      <c r="A72" s="7" t="inlineStr">
        <is>
          <t>A76:B81 seçilir (oranlar ve üstteki model hücresi dahil). Data &gt; What-If Analysis &gt; Data Table. Column input cell: B49. B77:B81 derste doldurulur.</t>
        </is>
      </c>
    </row>
    <row r="73">
      <c r="A73" s="7" t="inlineStr">
        <is>
          <t>B76 modeldeki taksite bağlıdır (=B56). Data Table B49'a sırayla A77:A81'deki oranları koyar ve B56'yı yeniden hesaplar.</t>
        </is>
      </c>
    </row>
    <row r="75">
      <c r="A75" s="18" t="inlineStr">
        <is>
          <t>Aylık oran</t>
        </is>
      </c>
      <c r="B75" s="18" t="inlineStr">
        <is>
          <t>Data Table</t>
        </is>
      </c>
      <c r="C75" s="18" t="inlineStr">
        <is>
          <t>Sağlama: formülle</t>
        </is>
      </c>
    </row>
    <row r="76">
      <c r="B76" s="13">
        <f>B56</f>
        <v/>
      </c>
    </row>
    <row r="77">
      <c r="A77" s="10" t="n">
        <v>0.035</v>
      </c>
      <c r="B77" s="33" t="n"/>
      <c r="C77" s="13">
        <f>-PMT(A77,$B$50,$B$48)</f>
        <v/>
      </c>
    </row>
    <row r="78">
      <c r="A78" s="10" t="n">
        <v>0.0375</v>
      </c>
      <c r="B78" s="33" t="n"/>
      <c r="C78" s="13">
        <f>-PMT(A78,$B$50,$B$48)</f>
        <v/>
      </c>
    </row>
    <row r="79">
      <c r="A79" s="10" t="n">
        <v>0.04</v>
      </c>
      <c r="B79" s="33" t="n"/>
      <c r="C79" s="13">
        <f>-PMT(A79,$B$50,$B$48)</f>
        <v/>
      </c>
    </row>
    <row r="80">
      <c r="A80" s="10" t="n">
        <v>0.0425</v>
      </c>
      <c r="B80" s="33" t="n"/>
      <c r="C80" s="13">
        <f>-PMT(A80,$B$50,$B$48)</f>
        <v/>
      </c>
    </row>
    <row r="81">
      <c r="A81" s="10" t="n">
        <v>0.045</v>
      </c>
      <c r="B81" s="33" t="n"/>
      <c r="C81" s="13">
        <f>-PMT(A81,$B$50,$B$48)</f>
        <v/>
      </c>
    </row>
    <row r="83">
      <c r="A83" s="8" t="inlineStr">
        <is>
          <t>K5 İki değişkenli Data Table: aylık oran × vade → taksit</t>
        </is>
      </c>
    </row>
    <row r="84">
      <c r="A84" s="7" t="inlineStr">
        <is>
          <t>A87:F92 seçilir. Data &gt; What-If Analysis &gt; Data Table. Row input cell: B50 (vade), Column input cell: B49 (oran). B88:F92 derste doldurulur.</t>
        </is>
      </c>
    </row>
    <row r="85">
      <c r="A85" s="7" t="inlineStr">
        <is>
          <t>Sol üst köşe (A87) modeldeki taksite bağlıdır. Data Table en çok iki girdiyle çalışır.</t>
        </is>
      </c>
    </row>
    <row r="87">
      <c r="A87" s="13">
        <f>B56</f>
        <v/>
      </c>
      <c r="B87" s="11" t="n">
        <v>6</v>
      </c>
      <c r="C87" s="11" t="n">
        <v>12</v>
      </c>
      <c r="D87" s="11" t="n">
        <v>18</v>
      </c>
      <c r="E87" s="11" t="n">
        <v>24</v>
      </c>
      <c r="F87" s="11" t="n">
        <v>36</v>
      </c>
    </row>
    <row r="88">
      <c r="A88" s="10" t="n">
        <v>0.035</v>
      </c>
      <c r="B88" s="33" t="n"/>
      <c r="C88" s="33" t="n"/>
      <c r="D88" s="33" t="n"/>
      <c r="E88" s="33" t="n"/>
      <c r="F88" s="33" t="n"/>
    </row>
    <row r="89">
      <c r="A89" s="10" t="n">
        <v>0.0375</v>
      </c>
      <c r="B89" s="33" t="n"/>
      <c r="C89" s="33" t="n"/>
      <c r="D89" s="33" t="n"/>
      <c r="E89" s="33" t="n"/>
      <c r="F89" s="33" t="n"/>
    </row>
    <row r="90">
      <c r="A90" s="10" t="n">
        <v>0.04</v>
      </c>
      <c r="B90" s="33" t="n"/>
      <c r="C90" s="33" t="n"/>
      <c r="D90" s="33" t="n"/>
      <c r="E90" s="33" t="n"/>
      <c r="F90" s="33" t="n"/>
    </row>
    <row r="91">
      <c r="A91" s="10" t="n">
        <v>0.0425</v>
      </c>
      <c r="B91" s="33" t="n"/>
      <c r="C91" s="33" t="n"/>
      <c r="D91" s="33" t="n"/>
      <c r="E91" s="33" t="n"/>
      <c r="F91" s="33" t="n"/>
    </row>
    <row r="92">
      <c r="A92" s="10" t="n">
        <v>0.045</v>
      </c>
      <c r="B92" s="33" t="n"/>
      <c r="C92" s="33" t="n"/>
      <c r="D92" s="33" t="n"/>
      <c r="E92" s="33" t="n"/>
      <c r="F92" s="33" t="n"/>
    </row>
    <row r="94">
      <c r="A94" s="3" t="inlineStr">
        <is>
          <t>Sağlama: karma başvurulu formül</t>
        </is>
      </c>
      <c r="B94" s="20">
        <f>B87</f>
        <v/>
      </c>
      <c r="C94" s="20">
        <f>C87</f>
        <v/>
      </c>
      <c r="D94" s="20">
        <f>D87</f>
        <v/>
      </c>
      <c r="E94" s="20">
        <f>E87</f>
        <v/>
      </c>
      <c r="F94" s="20">
        <f>F87</f>
        <v/>
      </c>
    </row>
    <row r="95">
      <c r="A95" s="15">
        <f>A88</f>
        <v/>
      </c>
      <c r="B95" s="13">
        <f>-PMT($A95,B$94,$B$48)</f>
        <v/>
      </c>
      <c r="C95" s="13">
        <f>-PMT($A95,C$94,$B$48)</f>
        <v/>
      </c>
      <c r="D95" s="13">
        <f>-PMT($A95,D$94,$B$48)</f>
        <v/>
      </c>
      <c r="E95" s="13">
        <f>-PMT($A95,E$94,$B$48)</f>
        <v/>
      </c>
      <c r="F95" s="13">
        <f>-PMT($A95,F$94,$B$48)</f>
        <v/>
      </c>
      <c r="G95" s="7" t="inlineStr">
        <is>
          <t>$A95: sütun sabit, satır kayar (oran). B$94: satır sabit, sütun kayar (vade). Bir formül bütün ızgaraya sürüklenir.</t>
        </is>
      </c>
    </row>
    <row r="96">
      <c r="A96" s="15">
        <f>A89</f>
        <v/>
      </c>
      <c r="B96" s="13">
        <f>-PMT($A96,B$94,$B$48)</f>
        <v/>
      </c>
      <c r="C96" s="13">
        <f>-PMT($A96,C$94,$B$48)</f>
        <v/>
      </c>
      <c r="D96" s="13">
        <f>-PMT($A96,D$94,$B$48)</f>
        <v/>
      </c>
      <c r="E96" s="13">
        <f>-PMT($A96,E$94,$B$48)</f>
        <v/>
      </c>
      <c r="F96" s="13">
        <f>-PMT($A96,F$94,$B$48)</f>
        <v/>
      </c>
    </row>
    <row r="97">
      <c r="A97" s="15">
        <f>A90</f>
        <v/>
      </c>
      <c r="B97" s="13">
        <f>-PMT($A97,B$94,$B$48)</f>
        <v/>
      </c>
      <c r="C97" s="13">
        <f>-PMT($A97,C$94,$B$48)</f>
        <v/>
      </c>
      <c r="D97" s="13">
        <f>-PMT($A97,D$94,$B$48)</f>
        <v/>
      </c>
      <c r="E97" s="13">
        <f>-PMT($A97,E$94,$B$48)</f>
        <v/>
      </c>
      <c r="F97" s="13">
        <f>-PMT($A97,F$94,$B$48)</f>
        <v/>
      </c>
    </row>
    <row r="98">
      <c r="A98" s="15">
        <f>A91</f>
        <v/>
      </c>
      <c r="B98" s="13">
        <f>-PMT($A98,B$94,$B$48)</f>
        <v/>
      </c>
      <c r="C98" s="13">
        <f>-PMT($A98,C$94,$B$48)</f>
        <v/>
      </c>
      <c r="D98" s="13">
        <f>-PMT($A98,D$94,$B$48)</f>
        <v/>
      </c>
      <c r="E98" s="13">
        <f>-PMT($A98,E$94,$B$48)</f>
        <v/>
      </c>
      <c r="F98" s="13">
        <f>-PMT($A98,F$94,$B$48)</f>
        <v/>
      </c>
    </row>
    <row r="99">
      <c r="A99" s="15">
        <f>A92</f>
        <v/>
      </c>
      <c r="B99" s="13">
        <f>-PMT($A99,B$94,$B$48)</f>
        <v/>
      </c>
      <c r="C99" s="13">
        <f>-PMT($A99,C$94,$B$48)</f>
        <v/>
      </c>
      <c r="D99" s="13">
        <f>-PMT($A99,D$94,$B$48)</f>
        <v/>
      </c>
      <c r="E99" s="13">
        <f>-PMT($A99,E$94,$B$48)</f>
        <v/>
      </c>
      <c r="F99" s="13">
        <f>-PMT($A99,F$94,$B$48)</f>
        <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Q117"/>
  <sheetViews>
    <sheetView showGridLines="1"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4" customWidth="1" min="12" max="12"/>
    <col width="10" customWidth="1" min="13" max="13"/>
    <col width="16" customWidth="1" min="14" max="14"/>
    <col width="16" customWidth="1" min="15" max="15"/>
    <col width="16" customWidth="1" min="16" max="16"/>
    <col width="16" customWidth="1" min="17" max="17"/>
  </cols>
  <sheetData>
    <row r="1">
      <c r="A1" s="1" t="inlineStr">
        <is>
          <t>Uygulama (derste, 50 dakika): üç kredi teklifi</t>
        </is>
      </c>
    </row>
    <row r="2">
      <c r="A2" s="7" t="inlineStr">
        <is>
          <t>Sarı hücreler öğrenci tarafından doldurulur. Formüle sayı yazılmaz; her sayı mavi bir girdi hücresindedir. Teklifler varsayımsaldır; vergiler (KKDF, BSMV) modele dahil değildir.</t>
        </is>
      </c>
    </row>
    <row r="3">
      <c r="A3" s="7" t="inlineStr">
        <is>
          <t>Süre: G1 12 dk, G2 12 dk, G4 Excel kısmı (bu sayfa); G3 12 dk ve G4'ün Python kısmı Colab defterinde. Kredi tavsiyesi değildir.</t>
        </is>
      </c>
    </row>
    <row r="5">
      <c r="A5" s="8" t="inlineStr">
        <is>
          <t>G1 (12 dk): üç teklifin taksiti, toplam faizi ve amortisman tablosu</t>
        </is>
      </c>
    </row>
    <row r="6">
      <c r="A6" s="3" t="inlineStr">
        <is>
          <t>[G] Kredi tutarı (TL)</t>
        </is>
      </c>
      <c r="B6" s="9" t="n">
        <v>100000</v>
      </c>
    </row>
    <row r="7">
      <c r="A7" s="3" t="inlineStr">
        <is>
          <t>[G] Aylık net gelir (TL)</t>
        </is>
      </c>
      <c r="B7" s="9" t="n">
        <v>24000</v>
      </c>
    </row>
    <row r="8">
      <c r="A8" s="3" t="inlineStr">
        <is>
          <t>[G] Bütçe eşiği: taksit / gelir en çok</t>
        </is>
      </c>
      <c r="B8" s="10" t="n">
        <v>0.4</v>
      </c>
    </row>
    <row r="9">
      <c r="A9" s="3" t="inlineStr">
        <is>
          <t>[G] TCMB ihtiyaç kredisi faizi (4 Eylül 2026 haftası)</t>
        </is>
      </c>
      <c r="B9" s="10" t="n">
        <v>0.63</v>
      </c>
    </row>
    <row r="10">
      <c r="A10" s="3" t="inlineStr">
        <is>
          <t>[G] Yılda ay sayısı</t>
        </is>
      </c>
      <c r="B10" s="11" t="n">
        <v>12</v>
      </c>
    </row>
    <row r="11">
      <c r="A11" s="3" t="inlineStr">
        <is>
          <t>Birim çevirme: yüzde puan = oran × 100</t>
        </is>
      </c>
      <c r="B11" s="11" t="n">
        <v>100</v>
      </c>
    </row>
    <row r="12" ht="27" customHeight="1">
      <c r="A12" s="18" t="inlineStr">
        <is>
          <t>Teklif</t>
        </is>
      </c>
      <c r="B12" s="18" t="inlineStr">
        <is>
          <t>Aylık akdi oran</t>
        </is>
      </c>
      <c r="C12" s="18" t="inlineStr">
        <is>
          <t>Vade (ay)</t>
        </is>
      </c>
      <c r="D12" s="18" t="inlineStr">
        <is>
          <t>Tahsis ücreti (TL)</t>
        </is>
      </c>
      <c r="E12" s="18" t="inlineStr">
        <is>
          <t>Aylık taksit</t>
        </is>
      </c>
      <c r="F12" s="18" t="inlineStr">
        <is>
          <t>Toplam ödeme</t>
        </is>
      </c>
      <c r="G12" s="18" t="inlineStr">
        <is>
          <t>Toplam faiz</t>
        </is>
      </c>
      <c r="H12" s="18" t="inlineStr">
        <is>
          <t>Taksit / gelir</t>
        </is>
      </c>
    </row>
    <row r="13">
      <c r="A13" s="2" t="inlineStr">
        <is>
          <t>A</t>
        </is>
      </c>
      <c r="B13" s="10" t="n">
        <v>0.0399</v>
      </c>
      <c r="C13" s="11" t="n">
        <v>12</v>
      </c>
      <c r="D13" s="9" t="n">
        <v>500</v>
      </c>
      <c r="E13" s="16" t="n"/>
      <c r="F13" s="16" t="n"/>
      <c r="G13" s="16" t="n"/>
      <c r="H13" s="17" t="n"/>
    </row>
    <row r="14">
      <c r="A14" s="2" t="inlineStr">
        <is>
          <t>B</t>
        </is>
      </c>
      <c r="B14" s="10" t="n">
        <v>0.0405</v>
      </c>
      <c r="C14" s="11" t="n">
        <v>12</v>
      </c>
      <c r="D14" s="9" t="n">
        <v>0</v>
      </c>
      <c r="E14" s="16" t="n"/>
      <c r="F14" s="16" t="n"/>
      <c r="G14" s="16" t="n"/>
      <c r="H14" s="17" t="n"/>
    </row>
    <row r="15">
      <c r="A15" s="2" t="inlineStr">
        <is>
          <t>C</t>
        </is>
      </c>
      <c r="B15" s="10" t="n">
        <v>0.0389</v>
      </c>
      <c r="C15" s="11" t="n">
        <v>24</v>
      </c>
      <c r="D15" s="9" t="n">
        <v>500</v>
      </c>
      <c r="E15" s="16" t="n"/>
      <c r="F15" s="16" t="n"/>
      <c r="G15" s="16" t="n"/>
      <c r="H15" s="17" t="n"/>
    </row>
    <row r="16">
      <c r="A16" s="7" t="inlineStr">
        <is>
          <t>Tahmin sorusu (hesaptan önce): akdi oranı en düşük teklif, en düşük toplam faizi ve en düşük maliyeti de verir mi?</t>
        </is>
      </c>
    </row>
    <row r="18">
      <c r="A18" s="8" t="inlineStr">
        <is>
          <t>G1 (devam): üç amortisman tablosu</t>
        </is>
      </c>
    </row>
    <row r="19">
      <c r="A19" s="7" t="inlineStr">
        <is>
          <t>Önce Teklif A bloğu kurulur. Blok (A21:E47) kopyalanıp G21 ve M21'e yapıştırılır; karma başvurular (B$21, D$21) her bloğun kendi oranını ve taksitini bulur. A ve B'de 12, C'de 24 satır doldurulur.</t>
        </is>
      </c>
    </row>
    <row r="20">
      <c r="A20" s="8" t="inlineStr">
        <is>
          <t>Teklif A</t>
        </is>
      </c>
      <c r="G20" s="8" t="inlineStr">
        <is>
          <t>Teklif B</t>
        </is>
      </c>
      <c r="M20" s="8" t="inlineStr">
        <is>
          <t>Teklif C</t>
        </is>
      </c>
    </row>
    <row r="21">
      <c r="A21" s="3" t="inlineStr">
        <is>
          <t>Oran</t>
        </is>
      </c>
      <c r="B21" s="17" t="n"/>
      <c r="C21" s="3" t="inlineStr">
        <is>
          <t>Taksit</t>
        </is>
      </c>
      <c r="D21" s="16" t="n"/>
      <c r="G21" s="3" t="inlineStr">
        <is>
          <t>Oran</t>
        </is>
      </c>
      <c r="H21" s="17" t="n"/>
      <c r="I21" s="3" t="inlineStr">
        <is>
          <t>Taksit</t>
        </is>
      </c>
      <c r="J21" s="16" t="n"/>
      <c r="M21" s="3" t="inlineStr">
        <is>
          <t>Oran</t>
        </is>
      </c>
      <c r="N21" s="17" t="n"/>
      <c r="O21" s="3" t="inlineStr">
        <is>
          <t>Taksit</t>
        </is>
      </c>
      <c r="P21" s="16" t="n"/>
    </row>
    <row r="22" ht="27" customHeight="1">
      <c r="A22" s="18" t="inlineStr">
        <is>
          <t>Ay</t>
        </is>
      </c>
      <c r="B22" s="18" t="inlineStr">
        <is>
          <t>Başlangıç borcu</t>
        </is>
      </c>
      <c r="C22" s="18" t="inlineStr">
        <is>
          <t>Faiz</t>
        </is>
      </c>
      <c r="D22" s="18" t="inlineStr">
        <is>
          <t>Anapara</t>
        </is>
      </c>
      <c r="E22" s="18" t="inlineStr">
        <is>
          <t>Kalan borç</t>
        </is>
      </c>
      <c r="G22" s="18" t="inlineStr">
        <is>
          <t>Ay</t>
        </is>
      </c>
      <c r="H22" s="18" t="inlineStr">
        <is>
          <t>Başlangıç borcu</t>
        </is>
      </c>
      <c r="I22" s="18" t="inlineStr">
        <is>
          <t>Faiz</t>
        </is>
      </c>
      <c r="J22" s="18" t="inlineStr">
        <is>
          <t>Anapara</t>
        </is>
      </c>
      <c r="K22" s="18" t="inlineStr">
        <is>
          <t>Kalan borç</t>
        </is>
      </c>
      <c r="M22" s="18" t="inlineStr">
        <is>
          <t>Ay</t>
        </is>
      </c>
      <c r="N22" s="18" t="inlineStr">
        <is>
          <t>Başlangıç borcu</t>
        </is>
      </c>
      <c r="O22" s="18" t="inlineStr">
        <is>
          <t>Faiz</t>
        </is>
      </c>
      <c r="P22" s="18" t="inlineStr">
        <is>
          <t>Anapara</t>
        </is>
      </c>
      <c r="Q22" s="18" t="inlineStr">
        <is>
          <t>Kalan borç</t>
        </is>
      </c>
    </row>
    <row r="23">
      <c r="A23" s="19" t="n">
        <v>0</v>
      </c>
      <c r="E23" s="13">
        <f>$B$6</f>
        <v/>
      </c>
      <c r="G23" s="19" t="n">
        <v>0</v>
      </c>
      <c r="K23" s="13">
        <f>$B$6</f>
        <v/>
      </c>
      <c r="M23" s="19" t="n">
        <v>0</v>
      </c>
      <c r="Q23" s="13">
        <f>$B$6</f>
        <v/>
      </c>
    </row>
    <row r="24">
      <c r="A24" s="20">
        <f>A23+1</f>
        <v/>
      </c>
      <c r="B24" s="16" t="n"/>
      <c r="C24" s="16" t="n"/>
      <c r="D24" s="16" t="n"/>
      <c r="E24" s="16" t="n"/>
      <c r="G24" s="20">
        <f>G23+1</f>
        <v/>
      </c>
      <c r="H24" s="16" t="n"/>
      <c r="I24" s="16" t="n"/>
      <c r="J24" s="16" t="n"/>
      <c r="K24" s="16" t="n"/>
      <c r="M24" s="20">
        <f>M23+1</f>
        <v/>
      </c>
      <c r="N24" s="16" t="n"/>
      <c r="O24" s="16" t="n"/>
      <c r="P24" s="16" t="n"/>
      <c r="Q24" s="16" t="n"/>
    </row>
    <row r="25">
      <c r="A25" s="20">
        <f>A24+1</f>
        <v/>
      </c>
      <c r="B25" s="16" t="n"/>
      <c r="C25" s="16" t="n"/>
      <c r="D25" s="16" t="n"/>
      <c r="E25" s="16" t="n"/>
      <c r="G25" s="20">
        <f>G24+1</f>
        <v/>
      </c>
      <c r="H25" s="16" t="n"/>
      <c r="I25" s="16" t="n"/>
      <c r="J25" s="16" t="n"/>
      <c r="K25" s="16" t="n"/>
      <c r="M25" s="20">
        <f>M24+1</f>
        <v/>
      </c>
      <c r="N25" s="16" t="n"/>
      <c r="O25" s="16" t="n"/>
      <c r="P25" s="16" t="n"/>
      <c r="Q25" s="16" t="n"/>
    </row>
    <row r="26">
      <c r="A26" s="20">
        <f>A25+1</f>
        <v/>
      </c>
      <c r="B26" s="16" t="n"/>
      <c r="C26" s="16" t="n"/>
      <c r="D26" s="16" t="n"/>
      <c r="E26" s="16" t="n"/>
      <c r="G26" s="20">
        <f>G25+1</f>
        <v/>
      </c>
      <c r="H26" s="16" t="n"/>
      <c r="I26" s="16" t="n"/>
      <c r="J26" s="16" t="n"/>
      <c r="K26" s="16" t="n"/>
      <c r="M26" s="20">
        <f>M25+1</f>
        <v/>
      </c>
      <c r="N26" s="16" t="n"/>
      <c r="O26" s="16" t="n"/>
      <c r="P26" s="16" t="n"/>
      <c r="Q26" s="16" t="n"/>
    </row>
    <row r="27">
      <c r="A27" s="20">
        <f>A26+1</f>
        <v/>
      </c>
      <c r="B27" s="16" t="n"/>
      <c r="C27" s="16" t="n"/>
      <c r="D27" s="16" t="n"/>
      <c r="E27" s="16" t="n"/>
      <c r="G27" s="20">
        <f>G26+1</f>
        <v/>
      </c>
      <c r="H27" s="16" t="n"/>
      <c r="I27" s="16" t="n"/>
      <c r="J27" s="16" t="n"/>
      <c r="K27" s="16" t="n"/>
      <c r="M27" s="20">
        <f>M26+1</f>
        <v/>
      </c>
      <c r="N27" s="16" t="n"/>
      <c r="O27" s="16" t="n"/>
      <c r="P27" s="16" t="n"/>
      <c r="Q27" s="16" t="n"/>
    </row>
    <row r="28">
      <c r="A28" s="20">
        <f>A27+1</f>
        <v/>
      </c>
      <c r="B28" s="16" t="n"/>
      <c r="C28" s="16" t="n"/>
      <c r="D28" s="16" t="n"/>
      <c r="E28" s="16" t="n"/>
      <c r="G28" s="20">
        <f>G27+1</f>
        <v/>
      </c>
      <c r="H28" s="16" t="n"/>
      <c r="I28" s="16" t="n"/>
      <c r="J28" s="16" t="n"/>
      <c r="K28" s="16" t="n"/>
      <c r="M28" s="20">
        <f>M27+1</f>
        <v/>
      </c>
      <c r="N28" s="16" t="n"/>
      <c r="O28" s="16" t="n"/>
      <c r="P28" s="16" t="n"/>
      <c r="Q28" s="16" t="n"/>
    </row>
    <row r="29">
      <c r="A29" s="20">
        <f>A28+1</f>
        <v/>
      </c>
      <c r="B29" s="16" t="n"/>
      <c r="C29" s="16" t="n"/>
      <c r="D29" s="16" t="n"/>
      <c r="E29" s="16" t="n"/>
      <c r="G29" s="20">
        <f>G28+1</f>
        <v/>
      </c>
      <c r="H29" s="16" t="n"/>
      <c r="I29" s="16" t="n"/>
      <c r="J29" s="16" t="n"/>
      <c r="K29" s="16" t="n"/>
      <c r="M29" s="20">
        <f>M28+1</f>
        <v/>
      </c>
      <c r="N29" s="16" t="n"/>
      <c r="O29" s="16" t="n"/>
      <c r="P29" s="16" t="n"/>
      <c r="Q29" s="16" t="n"/>
    </row>
    <row r="30">
      <c r="A30" s="20">
        <f>A29+1</f>
        <v/>
      </c>
      <c r="B30" s="16" t="n"/>
      <c r="C30" s="16" t="n"/>
      <c r="D30" s="16" t="n"/>
      <c r="E30" s="16" t="n"/>
      <c r="G30" s="20">
        <f>G29+1</f>
        <v/>
      </c>
      <c r="H30" s="16" t="n"/>
      <c r="I30" s="16" t="n"/>
      <c r="J30" s="16" t="n"/>
      <c r="K30" s="16" t="n"/>
      <c r="M30" s="20">
        <f>M29+1</f>
        <v/>
      </c>
      <c r="N30" s="16" t="n"/>
      <c r="O30" s="16" t="n"/>
      <c r="P30" s="16" t="n"/>
      <c r="Q30" s="16" t="n"/>
    </row>
    <row r="31">
      <c r="A31" s="20">
        <f>A30+1</f>
        <v/>
      </c>
      <c r="B31" s="16" t="n"/>
      <c r="C31" s="16" t="n"/>
      <c r="D31" s="16" t="n"/>
      <c r="E31" s="16" t="n"/>
      <c r="G31" s="20">
        <f>G30+1</f>
        <v/>
      </c>
      <c r="H31" s="16" t="n"/>
      <c r="I31" s="16" t="n"/>
      <c r="J31" s="16" t="n"/>
      <c r="K31" s="16" t="n"/>
      <c r="M31" s="20">
        <f>M30+1</f>
        <v/>
      </c>
      <c r="N31" s="16" t="n"/>
      <c r="O31" s="16" t="n"/>
      <c r="P31" s="16" t="n"/>
      <c r="Q31" s="16" t="n"/>
    </row>
    <row r="32">
      <c r="A32" s="20">
        <f>A31+1</f>
        <v/>
      </c>
      <c r="B32" s="16" t="n"/>
      <c r="C32" s="16" t="n"/>
      <c r="D32" s="16" t="n"/>
      <c r="E32" s="16" t="n"/>
      <c r="G32" s="20">
        <f>G31+1</f>
        <v/>
      </c>
      <c r="H32" s="16" t="n"/>
      <c r="I32" s="16" t="n"/>
      <c r="J32" s="16" t="n"/>
      <c r="K32" s="16" t="n"/>
      <c r="M32" s="20">
        <f>M31+1</f>
        <v/>
      </c>
      <c r="N32" s="16" t="n"/>
      <c r="O32" s="16" t="n"/>
      <c r="P32" s="16" t="n"/>
      <c r="Q32" s="16" t="n"/>
    </row>
    <row r="33">
      <c r="A33" s="20">
        <f>A32+1</f>
        <v/>
      </c>
      <c r="B33" s="16" t="n"/>
      <c r="C33" s="16" t="n"/>
      <c r="D33" s="16" t="n"/>
      <c r="E33" s="16" t="n"/>
      <c r="G33" s="20">
        <f>G32+1</f>
        <v/>
      </c>
      <c r="H33" s="16" t="n"/>
      <c r="I33" s="16" t="n"/>
      <c r="J33" s="16" t="n"/>
      <c r="K33" s="16" t="n"/>
      <c r="M33" s="20">
        <f>M32+1</f>
        <v/>
      </c>
      <c r="N33" s="16" t="n"/>
      <c r="O33" s="16" t="n"/>
      <c r="P33" s="16" t="n"/>
      <c r="Q33" s="16" t="n"/>
    </row>
    <row r="34">
      <c r="A34" s="20">
        <f>A33+1</f>
        <v/>
      </c>
      <c r="B34" s="16" t="n"/>
      <c r="C34" s="16" t="n"/>
      <c r="D34" s="16" t="n"/>
      <c r="E34" s="16" t="n"/>
      <c r="G34" s="20">
        <f>G33+1</f>
        <v/>
      </c>
      <c r="H34" s="16" t="n"/>
      <c r="I34" s="16" t="n"/>
      <c r="J34" s="16" t="n"/>
      <c r="K34" s="16" t="n"/>
      <c r="M34" s="20">
        <f>M33+1</f>
        <v/>
      </c>
      <c r="N34" s="16" t="n"/>
      <c r="O34" s="16" t="n"/>
      <c r="P34" s="16" t="n"/>
      <c r="Q34" s="16" t="n"/>
    </row>
    <row r="35">
      <c r="A35" s="20">
        <f>A34+1</f>
        <v/>
      </c>
      <c r="B35" s="16" t="n"/>
      <c r="C35" s="16" t="n"/>
      <c r="D35" s="16" t="n"/>
      <c r="E35" s="16" t="n"/>
      <c r="G35" s="20">
        <f>G34+1</f>
        <v/>
      </c>
      <c r="H35" s="16" t="n"/>
      <c r="I35" s="16" t="n"/>
      <c r="J35" s="16" t="n"/>
      <c r="K35" s="16" t="n"/>
      <c r="M35" s="20">
        <f>M34+1</f>
        <v/>
      </c>
      <c r="N35" s="16" t="n"/>
      <c r="O35" s="16" t="n"/>
      <c r="P35" s="16" t="n"/>
      <c r="Q35" s="16" t="n"/>
    </row>
    <row r="36">
      <c r="A36" s="20">
        <f>A35+1</f>
        <v/>
      </c>
      <c r="B36" s="34" t="n"/>
      <c r="C36" s="34" t="n"/>
      <c r="D36" s="34" t="n"/>
      <c r="E36" s="34" t="n"/>
      <c r="G36" s="20">
        <f>G35+1</f>
        <v/>
      </c>
      <c r="H36" s="34" t="n"/>
      <c r="I36" s="34" t="n"/>
      <c r="J36" s="34" t="n"/>
      <c r="K36" s="34" t="n"/>
      <c r="M36" s="20">
        <f>M35+1</f>
        <v/>
      </c>
      <c r="N36" s="16" t="n"/>
      <c r="O36" s="16" t="n"/>
      <c r="P36" s="16" t="n"/>
      <c r="Q36" s="16" t="n"/>
    </row>
    <row r="37">
      <c r="A37" s="20">
        <f>A36+1</f>
        <v/>
      </c>
      <c r="B37" s="34" t="n"/>
      <c r="C37" s="34" t="n"/>
      <c r="D37" s="34" t="n"/>
      <c r="E37" s="34" t="n"/>
      <c r="G37" s="20">
        <f>G36+1</f>
        <v/>
      </c>
      <c r="H37" s="34" t="n"/>
      <c r="I37" s="34" t="n"/>
      <c r="J37" s="34" t="n"/>
      <c r="K37" s="34" t="n"/>
      <c r="M37" s="20">
        <f>M36+1</f>
        <v/>
      </c>
      <c r="N37" s="16" t="n"/>
      <c r="O37" s="16" t="n"/>
      <c r="P37" s="16" t="n"/>
      <c r="Q37" s="16" t="n"/>
    </row>
    <row r="38">
      <c r="A38" s="20">
        <f>A37+1</f>
        <v/>
      </c>
      <c r="B38" s="34" t="n"/>
      <c r="C38" s="34" t="n"/>
      <c r="D38" s="34" t="n"/>
      <c r="E38" s="34" t="n"/>
      <c r="G38" s="20">
        <f>G37+1</f>
        <v/>
      </c>
      <c r="H38" s="34" t="n"/>
      <c r="I38" s="34" t="n"/>
      <c r="J38" s="34" t="n"/>
      <c r="K38" s="34" t="n"/>
      <c r="M38" s="20">
        <f>M37+1</f>
        <v/>
      </c>
      <c r="N38" s="16" t="n"/>
      <c r="O38" s="16" t="n"/>
      <c r="P38" s="16" t="n"/>
      <c r="Q38" s="16" t="n"/>
    </row>
    <row r="39">
      <c r="A39" s="20">
        <f>A38+1</f>
        <v/>
      </c>
      <c r="B39" s="34" t="n"/>
      <c r="C39" s="34" t="n"/>
      <c r="D39" s="34" t="n"/>
      <c r="E39" s="34" t="n"/>
      <c r="G39" s="20">
        <f>G38+1</f>
        <v/>
      </c>
      <c r="H39" s="34" t="n"/>
      <c r="I39" s="34" t="n"/>
      <c r="J39" s="34" t="n"/>
      <c r="K39" s="34" t="n"/>
      <c r="M39" s="20">
        <f>M38+1</f>
        <v/>
      </c>
      <c r="N39" s="16" t="n"/>
      <c r="O39" s="16" t="n"/>
      <c r="P39" s="16" t="n"/>
      <c r="Q39" s="16" t="n"/>
    </row>
    <row r="40">
      <c r="A40" s="20">
        <f>A39+1</f>
        <v/>
      </c>
      <c r="B40" s="34" t="n"/>
      <c r="C40" s="34" t="n"/>
      <c r="D40" s="34" t="n"/>
      <c r="E40" s="34" t="n"/>
      <c r="G40" s="20">
        <f>G39+1</f>
        <v/>
      </c>
      <c r="H40" s="34" t="n"/>
      <c r="I40" s="34" t="n"/>
      <c r="J40" s="34" t="n"/>
      <c r="K40" s="34" t="n"/>
      <c r="M40" s="20">
        <f>M39+1</f>
        <v/>
      </c>
      <c r="N40" s="16" t="n"/>
      <c r="O40" s="16" t="n"/>
      <c r="P40" s="16" t="n"/>
      <c r="Q40" s="16" t="n"/>
    </row>
    <row r="41">
      <c r="A41" s="20">
        <f>A40+1</f>
        <v/>
      </c>
      <c r="B41" s="34" t="n"/>
      <c r="C41" s="34" t="n"/>
      <c r="D41" s="34" t="n"/>
      <c r="E41" s="34" t="n"/>
      <c r="G41" s="20">
        <f>G40+1</f>
        <v/>
      </c>
      <c r="H41" s="34" t="n"/>
      <c r="I41" s="34" t="n"/>
      <c r="J41" s="34" t="n"/>
      <c r="K41" s="34" t="n"/>
      <c r="M41" s="20">
        <f>M40+1</f>
        <v/>
      </c>
      <c r="N41" s="16" t="n"/>
      <c r="O41" s="16" t="n"/>
      <c r="P41" s="16" t="n"/>
      <c r="Q41" s="16" t="n"/>
    </row>
    <row r="42">
      <c r="A42" s="20">
        <f>A41+1</f>
        <v/>
      </c>
      <c r="B42" s="34" t="n"/>
      <c r="C42" s="34" t="n"/>
      <c r="D42" s="34" t="n"/>
      <c r="E42" s="34" t="n"/>
      <c r="G42" s="20">
        <f>G41+1</f>
        <v/>
      </c>
      <c r="H42" s="34" t="n"/>
      <c r="I42" s="34" t="n"/>
      <c r="J42" s="34" t="n"/>
      <c r="K42" s="34" t="n"/>
      <c r="M42" s="20">
        <f>M41+1</f>
        <v/>
      </c>
      <c r="N42" s="16" t="n"/>
      <c r="O42" s="16" t="n"/>
      <c r="P42" s="16" t="n"/>
      <c r="Q42" s="16" t="n"/>
    </row>
    <row r="43">
      <c r="A43" s="20">
        <f>A42+1</f>
        <v/>
      </c>
      <c r="B43" s="34" t="n"/>
      <c r="C43" s="34" t="n"/>
      <c r="D43" s="34" t="n"/>
      <c r="E43" s="34" t="n"/>
      <c r="G43" s="20">
        <f>G42+1</f>
        <v/>
      </c>
      <c r="H43" s="34" t="n"/>
      <c r="I43" s="34" t="n"/>
      <c r="J43" s="34" t="n"/>
      <c r="K43" s="34" t="n"/>
      <c r="M43" s="20">
        <f>M42+1</f>
        <v/>
      </c>
      <c r="N43" s="16" t="n"/>
      <c r="O43" s="16" t="n"/>
      <c r="P43" s="16" t="n"/>
      <c r="Q43" s="16" t="n"/>
    </row>
    <row r="44">
      <c r="A44" s="20">
        <f>A43+1</f>
        <v/>
      </c>
      <c r="B44" s="34" t="n"/>
      <c r="C44" s="34" t="n"/>
      <c r="D44" s="34" t="n"/>
      <c r="E44" s="34" t="n"/>
      <c r="G44" s="20">
        <f>G43+1</f>
        <v/>
      </c>
      <c r="H44" s="34" t="n"/>
      <c r="I44" s="34" t="n"/>
      <c r="J44" s="34" t="n"/>
      <c r="K44" s="34" t="n"/>
      <c r="M44" s="20">
        <f>M43+1</f>
        <v/>
      </c>
      <c r="N44" s="16" t="n"/>
      <c r="O44" s="16" t="n"/>
      <c r="P44" s="16" t="n"/>
      <c r="Q44" s="16" t="n"/>
    </row>
    <row r="45">
      <c r="A45" s="20">
        <f>A44+1</f>
        <v/>
      </c>
      <c r="B45" s="34" t="n"/>
      <c r="C45" s="34" t="n"/>
      <c r="D45" s="34" t="n"/>
      <c r="E45" s="34" t="n"/>
      <c r="G45" s="20">
        <f>G44+1</f>
        <v/>
      </c>
      <c r="H45" s="34" t="n"/>
      <c r="I45" s="34" t="n"/>
      <c r="J45" s="34" t="n"/>
      <c r="K45" s="34" t="n"/>
      <c r="M45" s="20">
        <f>M44+1</f>
        <v/>
      </c>
      <c r="N45" s="16" t="n"/>
      <c r="O45" s="16" t="n"/>
      <c r="P45" s="16" t="n"/>
      <c r="Q45" s="16" t="n"/>
    </row>
    <row r="46">
      <c r="A46" s="20">
        <f>A45+1</f>
        <v/>
      </c>
      <c r="B46" s="34" t="n"/>
      <c r="C46" s="34" t="n"/>
      <c r="D46" s="34" t="n"/>
      <c r="E46" s="34" t="n"/>
      <c r="G46" s="20">
        <f>G45+1</f>
        <v/>
      </c>
      <c r="H46" s="34" t="n"/>
      <c r="I46" s="34" t="n"/>
      <c r="J46" s="34" t="n"/>
      <c r="K46" s="34" t="n"/>
      <c r="M46" s="20">
        <f>M45+1</f>
        <v/>
      </c>
      <c r="N46" s="16" t="n"/>
      <c r="O46" s="16" t="n"/>
      <c r="P46" s="16" t="n"/>
      <c r="Q46" s="16" t="n"/>
    </row>
    <row r="47">
      <c r="A47" s="20">
        <f>A46+1</f>
        <v/>
      </c>
      <c r="B47" s="34" t="n"/>
      <c r="C47" s="34" t="n"/>
      <c r="D47" s="34" t="n"/>
      <c r="E47" s="34" t="n"/>
      <c r="G47" s="20">
        <f>G46+1</f>
        <v/>
      </c>
      <c r="H47" s="34" t="n"/>
      <c r="I47" s="34" t="n"/>
      <c r="J47" s="34" t="n"/>
      <c r="K47" s="34" t="n"/>
      <c r="M47" s="20">
        <f>M46+1</f>
        <v/>
      </c>
      <c r="N47" s="16" t="n"/>
      <c r="O47" s="16" t="n"/>
      <c r="P47" s="16" t="n"/>
      <c r="Q47" s="16" t="n"/>
    </row>
    <row r="48">
      <c r="A48" s="3" t="inlineStr">
        <is>
          <t>Toplam</t>
        </is>
      </c>
      <c r="C48" s="16" t="n"/>
      <c r="D48" s="16" t="n"/>
      <c r="G48" s="3" t="inlineStr">
        <is>
          <t>Toplam</t>
        </is>
      </c>
      <c r="I48" s="16" t="n"/>
      <c r="J48" s="16" t="n"/>
      <c r="M48" s="3" t="inlineStr">
        <is>
          <t>Toplam</t>
        </is>
      </c>
      <c r="O48" s="16" t="n"/>
      <c r="P48" s="16" t="n"/>
    </row>
    <row r="49">
      <c r="A49" s="3" t="inlineStr">
        <is>
          <t>[S] Kalan</t>
        </is>
      </c>
      <c r="B49" s="21" t="n"/>
      <c r="G49" s="3" t="inlineStr">
        <is>
          <t>[S] Kalan</t>
        </is>
      </c>
      <c r="H49" s="21" t="n"/>
      <c r="M49" s="3" t="inlineStr">
        <is>
          <t>[S] Kalan</t>
        </is>
      </c>
      <c r="N49" s="21" t="n"/>
    </row>
    <row r="50">
      <c r="A50" s="3" t="inlineStr">
        <is>
          <t>[S] Faiz farkı</t>
        </is>
      </c>
      <c r="B50" s="21" t="n"/>
      <c r="G50" s="3" t="inlineStr">
        <is>
          <t>[S] Faiz farkı</t>
        </is>
      </c>
      <c r="H50" s="21" t="n"/>
      <c r="M50" s="3" t="inlineStr">
        <is>
          <t>[S] Faiz farkı</t>
        </is>
      </c>
      <c r="N50" s="21" t="n"/>
    </row>
    <row r="53">
      <c r="A53" s="8" t="inlineStr">
        <is>
          <t>G2 (12 dk): maliyet, sıralama ve bütçe kuralı</t>
        </is>
      </c>
    </row>
    <row r="54">
      <c r="A54" s="7" t="inlineStr">
        <is>
          <t>Ay 0: ele geçen tutar (kredi - tahsis ücreti), artı. Ay 1..vade: taksit, eksi. Aylık maliyet bu akışın iç verim oranıdır; TCMB'nin oranı da aynı yolla hesaplanır (Karar sayfası, K1).</t>
        </is>
      </c>
    </row>
    <row r="55">
      <c r="A55" s="18" t="inlineStr">
        <is>
          <t>Ay</t>
        </is>
      </c>
      <c r="B55" s="18" t="inlineStr">
        <is>
          <t>Teklif A akışı</t>
        </is>
      </c>
      <c r="C55" s="18" t="inlineStr">
        <is>
          <t>Teklif B akışı</t>
        </is>
      </c>
      <c r="D55" s="18" t="inlineStr">
        <is>
          <t>Teklif C akışı</t>
        </is>
      </c>
    </row>
    <row r="56">
      <c r="A56" s="19" t="n">
        <v>0</v>
      </c>
      <c r="B56" s="16" t="n"/>
      <c r="C56" s="16" t="n"/>
      <c r="D56" s="16" t="n"/>
    </row>
    <row r="57">
      <c r="A57" s="20">
        <f>A56+1</f>
        <v/>
      </c>
      <c r="B57" s="16" t="n"/>
      <c r="C57" s="16" t="n"/>
      <c r="D57" s="16" t="n"/>
    </row>
    <row r="58">
      <c r="A58" s="20">
        <f>A57+1</f>
        <v/>
      </c>
      <c r="B58" s="16" t="n"/>
      <c r="C58" s="16" t="n"/>
      <c r="D58" s="16" t="n"/>
    </row>
    <row r="59">
      <c r="A59" s="20">
        <f>A58+1</f>
        <v/>
      </c>
      <c r="B59" s="16" t="n"/>
      <c r="C59" s="16" t="n"/>
      <c r="D59" s="16" t="n"/>
    </row>
    <row r="60">
      <c r="A60" s="20">
        <f>A59+1</f>
        <v/>
      </c>
      <c r="B60" s="16" t="n"/>
      <c r="C60" s="16" t="n"/>
      <c r="D60" s="16" t="n"/>
    </row>
    <row r="61">
      <c r="A61" s="20">
        <f>A60+1</f>
        <v/>
      </c>
      <c r="B61" s="16" t="n"/>
      <c r="C61" s="16" t="n"/>
      <c r="D61" s="16" t="n"/>
    </row>
    <row r="62">
      <c r="A62" s="20">
        <f>A61+1</f>
        <v/>
      </c>
      <c r="B62" s="16" t="n"/>
      <c r="C62" s="16" t="n"/>
      <c r="D62" s="16" t="n"/>
    </row>
    <row r="63">
      <c r="A63" s="20">
        <f>A62+1</f>
        <v/>
      </c>
      <c r="B63" s="16" t="n"/>
      <c r="C63" s="16" t="n"/>
      <c r="D63" s="16" t="n"/>
    </row>
    <row r="64">
      <c r="A64" s="20">
        <f>A63+1</f>
        <v/>
      </c>
      <c r="B64" s="16" t="n"/>
      <c r="C64" s="16" t="n"/>
      <c r="D64" s="16" t="n"/>
    </row>
    <row r="65">
      <c r="A65" s="20">
        <f>A64+1</f>
        <v/>
      </c>
      <c r="B65" s="16" t="n"/>
      <c r="C65" s="16" t="n"/>
      <c r="D65" s="16" t="n"/>
    </row>
    <row r="66">
      <c r="A66" s="20">
        <f>A65+1</f>
        <v/>
      </c>
      <c r="B66" s="16" t="n"/>
      <c r="C66" s="16" t="n"/>
      <c r="D66" s="16" t="n"/>
    </row>
    <row r="67">
      <c r="A67" s="20">
        <f>A66+1</f>
        <v/>
      </c>
      <c r="B67" s="16" t="n"/>
      <c r="C67" s="16" t="n"/>
      <c r="D67" s="16" t="n"/>
    </row>
    <row r="68">
      <c r="A68" s="20">
        <f>A67+1</f>
        <v/>
      </c>
      <c r="B68" s="16" t="n"/>
      <c r="C68" s="16" t="n"/>
      <c r="D68" s="16" t="n"/>
    </row>
    <row r="69">
      <c r="A69" s="20">
        <f>A68+1</f>
        <v/>
      </c>
      <c r="B69" s="34" t="n"/>
      <c r="C69" s="34" t="n"/>
      <c r="D69" s="16" t="n"/>
    </row>
    <row r="70">
      <c r="A70" s="20">
        <f>A69+1</f>
        <v/>
      </c>
      <c r="B70" s="34" t="n"/>
      <c r="C70" s="34" t="n"/>
      <c r="D70" s="16" t="n"/>
    </row>
    <row r="71">
      <c r="A71" s="20">
        <f>A70+1</f>
        <v/>
      </c>
      <c r="B71" s="34" t="n"/>
      <c r="C71" s="34" t="n"/>
      <c r="D71" s="16" t="n"/>
    </row>
    <row r="72">
      <c r="A72" s="20">
        <f>A71+1</f>
        <v/>
      </c>
      <c r="B72" s="34" t="n"/>
      <c r="C72" s="34" t="n"/>
      <c r="D72" s="16" t="n"/>
    </row>
    <row r="73">
      <c r="A73" s="20">
        <f>A72+1</f>
        <v/>
      </c>
      <c r="B73" s="34" t="n"/>
      <c r="C73" s="34" t="n"/>
      <c r="D73" s="16" t="n"/>
    </row>
    <row r="74">
      <c r="A74" s="20">
        <f>A73+1</f>
        <v/>
      </c>
      <c r="B74" s="34" t="n"/>
      <c r="C74" s="34" t="n"/>
      <c r="D74" s="16" t="n"/>
    </row>
    <row r="75">
      <c r="A75" s="20">
        <f>A74+1</f>
        <v/>
      </c>
      <c r="B75" s="34" t="n"/>
      <c r="C75" s="34" t="n"/>
      <c r="D75" s="16" t="n"/>
    </row>
    <row r="76">
      <c r="A76" s="20">
        <f>A75+1</f>
        <v/>
      </c>
      <c r="B76" s="34" t="n"/>
      <c r="C76" s="34" t="n"/>
      <c r="D76" s="16" t="n"/>
    </row>
    <row r="77">
      <c r="A77" s="20">
        <f>A76+1</f>
        <v/>
      </c>
      <c r="B77" s="34" t="n"/>
      <c r="C77" s="34" t="n"/>
      <c r="D77" s="16" t="n"/>
    </row>
    <row r="78">
      <c r="A78" s="20">
        <f>A77+1</f>
        <v/>
      </c>
      <c r="B78" s="34" t="n"/>
      <c r="C78" s="34" t="n"/>
      <c r="D78" s="16" t="n"/>
    </row>
    <row r="79">
      <c r="A79" s="20">
        <f>A78+1</f>
        <v/>
      </c>
      <c r="B79" s="34" t="n"/>
      <c r="C79" s="34" t="n"/>
      <c r="D79" s="16" t="n"/>
    </row>
    <row r="80">
      <c r="A80" s="20">
        <f>A79+1</f>
        <v/>
      </c>
      <c r="B80" s="34" t="n"/>
      <c r="C80" s="34" t="n"/>
      <c r="D80" s="16" t="n"/>
    </row>
    <row r="82" ht="27" customHeight="1">
      <c r="A82" s="18" t="inlineStr">
        <is>
          <t>Teklif</t>
        </is>
      </c>
      <c r="B82" s="18" t="inlineStr">
        <is>
          <t>Aylık maliyet (IRR)</t>
        </is>
      </c>
      <c r="C82" s="18" t="inlineStr">
        <is>
          <t>Yıllık bileşik maliyet</t>
        </is>
      </c>
      <c r="D82" s="18" t="inlineStr">
        <is>
          <t>Ücretsiz yıllık karşılık</t>
        </is>
      </c>
      <c r="E82" s="18" t="inlineStr">
        <is>
          <t>Ücretin eklediği (yüzde puan)</t>
        </is>
      </c>
      <c r="F82" s="18" t="inlineStr">
        <is>
          <t>Sıra (1 = en düşük maliyet)</t>
        </is>
      </c>
      <c r="G82" s="18" t="inlineStr">
        <is>
          <t>Bütçe (IF)</t>
        </is>
      </c>
      <c r="H82" s="18" t="inlineStr">
        <is>
          <t>İki koşul (AND)</t>
        </is>
      </c>
    </row>
    <row r="83">
      <c r="A83" s="2" t="inlineStr">
        <is>
          <t>A</t>
        </is>
      </c>
      <c r="B83" s="35" t="n"/>
      <c r="C83" s="17" t="n"/>
      <c r="D83" s="17" t="n"/>
      <c r="E83" s="22" t="n"/>
      <c r="F83" s="36" t="n"/>
      <c r="G83" s="37" t="n"/>
      <c r="H83" s="37" t="n"/>
    </row>
    <row r="84">
      <c r="A84" s="2" t="inlineStr">
        <is>
          <t>B</t>
        </is>
      </c>
      <c r="B84" s="35" t="n"/>
      <c r="C84" s="17" t="n"/>
      <c r="D84" s="17" t="n"/>
      <c r="E84" s="22" t="n"/>
      <c r="F84" s="36" t="n"/>
      <c r="G84" s="37" t="n"/>
      <c r="H84" s="37" t="n"/>
    </row>
    <row r="85">
      <c r="A85" s="2" t="inlineStr">
        <is>
          <t>C</t>
        </is>
      </c>
      <c r="B85" s="35" t="n"/>
      <c r="C85" s="17" t="n"/>
      <c r="D85" s="17" t="n"/>
      <c r="E85" s="22" t="n"/>
      <c r="F85" s="36" t="n"/>
      <c r="G85" s="37" t="n"/>
      <c r="H85" s="37" t="n"/>
    </row>
    <row r="87">
      <c r="A87" s="3" t="inlineStr">
        <is>
          <t>[H] En düşük yıllık maliyet</t>
        </is>
      </c>
      <c r="B87" s="17" t="n"/>
    </row>
    <row r="88">
      <c r="A88" s="3" t="inlineStr">
        <is>
          <t>[H] Maliyeti en düşük teklif</t>
        </is>
      </c>
      <c r="B88" s="37" t="n"/>
    </row>
    <row r="89">
      <c r="A89" s="3" t="inlineStr">
        <is>
          <t>[H] Toplam faizi en düşük teklif</t>
        </is>
      </c>
      <c r="B89" s="37" t="n"/>
    </row>
    <row r="90">
      <c r="A90" s="3" t="inlineStr">
        <is>
          <t>[H] Bütçeye sığan teklif sayısı</t>
        </is>
      </c>
      <c r="B90" s="36" t="n"/>
    </row>
    <row r="91">
      <c r="A91" s="2" t="inlineStr">
        <is>
          <t>Yorum (G2):</t>
        </is>
      </c>
      <c r="B91" s="38" t="n"/>
    </row>
    <row r="94">
      <c r="A94" s="8" t="inlineStr">
        <is>
          <t>G4 (Excel kısmı): tutar × vade ızgarası ve 7.500 TL sınırı</t>
        </is>
      </c>
    </row>
    <row r="95">
      <c r="A95" s="7" t="inlineStr">
        <is>
          <t>Model B100'dedir. A102:F107 seçilir; Data &gt; What-If Analysis &gt; Data Table. Row input cell: B98 (vade), Column input cell: B97 (tutar). Python karşılığı defterde.</t>
        </is>
      </c>
    </row>
    <row r="96">
      <c r="A96" s="3" t="inlineStr">
        <is>
          <t>[G] Aylık oran</t>
        </is>
      </c>
      <c r="B96" s="10" t="n">
        <v>0.04</v>
      </c>
    </row>
    <row r="97">
      <c r="A97" s="3" t="inlineStr">
        <is>
          <t>[G] Modelin tutar girdisi (TL)</t>
        </is>
      </c>
      <c r="B97" s="9" t="n">
        <v>100000</v>
      </c>
    </row>
    <row r="98">
      <c r="A98" s="3" t="inlineStr">
        <is>
          <t>[G] Modelin vade girdisi (ay)</t>
        </is>
      </c>
      <c r="B98" s="11" t="n">
        <v>12</v>
      </c>
    </row>
    <row r="99">
      <c r="A99" s="3" t="inlineStr">
        <is>
          <t>[G] Ödenebilecek en yüksek taksit (TL)</t>
        </is>
      </c>
      <c r="B99" s="9" t="n">
        <v>7500</v>
      </c>
    </row>
    <row r="100">
      <c r="A100" s="3" t="inlineStr">
        <is>
          <t>[H] Modelin taksiti</t>
        </is>
      </c>
      <c r="B100" s="16" t="n"/>
    </row>
    <row r="102">
      <c r="A102" s="16" t="n"/>
      <c r="B102" s="11" t="n">
        <v>6</v>
      </c>
      <c r="C102" s="11" t="n">
        <v>12</v>
      </c>
      <c r="D102" s="11" t="n">
        <v>18</v>
      </c>
      <c r="E102" s="11" t="n">
        <v>24</v>
      </c>
      <c r="F102" s="11" t="n">
        <v>36</v>
      </c>
    </row>
    <row r="103">
      <c r="A103" s="9" t="n">
        <v>50000</v>
      </c>
      <c r="B103" s="16" t="n"/>
      <c r="C103" s="16" t="n"/>
      <c r="D103" s="16" t="n"/>
      <c r="E103" s="16" t="n"/>
      <c r="F103" s="16" t="n"/>
    </row>
    <row r="104">
      <c r="A104" s="9" t="n">
        <v>75000</v>
      </c>
      <c r="B104" s="16" t="n"/>
      <c r="C104" s="16" t="n"/>
      <c r="D104" s="16" t="n"/>
      <c r="E104" s="16" t="n"/>
      <c r="F104" s="16" t="n"/>
    </row>
    <row r="105">
      <c r="A105" s="9" t="n">
        <v>100000</v>
      </c>
      <c r="B105" s="16" t="n"/>
      <c r="C105" s="16" t="n"/>
      <c r="D105" s="16" t="n"/>
      <c r="E105" s="16" t="n"/>
      <c r="F105" s="16" t="n"/>
    </row>
    <row r="106">
      <c r="A106" s="9" t="n">
        <v>125000</v>
      </c>
      <c r="B106" s="16" t="n"/>
      <c r="C106" s="16" t="n"/>
      <c r="D106" s="16" t="n"/>
      <c r="E106" s="16" t="n"/>
      <c r="F106" s="16" t="n"/>
    </row>
    <row r="107">
      <c r="A107" s="9" t="n">
        <v>150000</v>
      </c>
      <c r="B107" s="16" t="n"/>
      <c r="C107" s="16" t="n"/>
      <c r="D107" s="16" t="n"/>
      <c r="E107" s="16" t="n"/>
      <c r="F107" s="16" t="n"/>
    </row>
    <row r="109">
      <c r="A109" s="3" t="inlineStr">
        <is>
          <t>Sığar mı?</t>
        </is>
      </c>
      <c r="B109" s="20">
        <f>B102</f>
        <v/>
      </c>
      <c r="C109" s="20">
        <f>C102</f>
        <v/>
      </c>
      <c r="D109" s="20">
        <f>D102</f>
        <v/>
      </c>
      <c r="E109" s="20">
        <f>E102</f>
        <v/>
      </c>
      <c r="F109" s="20">
        <f>F102</f>
        <v/>
      </c>
    </row>
    <row r="110">
      <c r="A110" s="13">
        <f>A103</f>
        <v/>
      </c>
      <c r="B110" s="37" t="n"/>
      <c r="C110" s="37" t="n"/>
      <c r="D110" s="37" t="n"/>
      <c r="E110" s="37" t="n"/>
      <c r="F110" s="37" t="n"/>
    </row>
    <row r="111">
      <c r="A111" s="13">
        <f>A104</f>
        <v/>
      </c>
      <c r="B111" s="37" t="n"/>
      <c r="C111" s="37" t="n"/>
      <c r="D111" s="37" t="n"/>
      <c r="E111" s="37" t="n"/>
      <c r="F111" s="37" t="n"/>
    </row>
    <row r="112">
      <c r="A112" s="13">
        <f>A105</f>
        <v/>
      </c>
      <c r="B112" s="37" t="n"/>
      <c r="C112" s="37" t="n"/>
      <c r="D112" s="37" t="n"/>
      <c r="E112" s="37" t="n"/>
      <c r="F112" s="37" t="n"/>
    </row>
    <row r="113">
      <c r="A113" s="13">
        <f>A106</f>
        <v/>
      </c>
      <c r="B113" s="37" t="n"/>
      <c r="C113" s="37" t="n"/>
      <c r="D113" s="37" t="n"/>
      <c r="E113" s="37" t="n"/>
      <c r="F113" s="37" t="n"/>
    </row>
    <row r="114">
      <c r="A114" s="13">
        <f>A107</f>
        <v/>
      </c>
      <c r="B114" s="37" t="n"/>
      <c r="C114" s="37" t="n"/>
      <c r="D114" s="37" t="n"/>
      <c r="E114" s="37" t="n"/>
      <c r="F114" s="37" t="n"/>
    </row>
    <row r="116">
      <c r="A116" s="3" t="inlineStr">
        <is>
          <t>[H] Bütçeye sığan hücre sayısı</t>
        </is>
      </c>
      <c r="B116" s="36" t="n"/>
    </row>
    <row r="117">
      <c r="A117" s="2" t="inlineStr">
        <is>
          <t>Yorum (G4):</t>
        </is>
      </c>
      <c r="B117" s="38" t="n"/>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D55"/>
  <sheetViews>
    <sheetView showGridLines="1" workbookViewId="0">
      <selection activeCell="A1" sqref="A1"/>
    </sheetView>
  </sheetViews>
  <sheetFormatPr baseColWidth="8" defaultRowHeight="15"/>
  <cols>
    <col width="46" customWidth="1" min="1" max="1"/>
    <col width="18" customWidth="1" min="2" max="2"/>
    <col width="18" customWidth="1" min="3" max="3"/>
    <col width="90" customWidth="1" min="4" max="4"/>
  </cols>
  <sheetData>
    <row r="1">
      <c r="A1" s="1" t="inlineStr">
        <is>
          <t>İleri: çözümlü örnek ve görev (isteğe bağlı, evde tamamlanabilir)</t>
        </is>
      </c>
    </row>
    <row r="2">
      <c r="A2" s="7" t="inlineStr">
        <is>
          <t>B sütunu çözümlü örnektir. C sütununda aynı hesap yeni girdilerle yapılır. D sütunu formülü ve açıklamasını gösterir.</t>
        </is>
      </c>
    </row>
    <row r="3">
      <c r="A3" s="7" t="inlineStr">
        <is>
          <t>C sütunu elle yazılır: B'deki formül sağa sürüklenmez, kopyalanmaz. Sonuç B'deki kalıpla karşılaştırılır.</t>
        </is>
      </c>
    </row>
    <row r="4">
      <c r="A4" s="8" t="inlineStr">
        <is>
          <t>İleri 1: taksitin kapalı formülü</t>
        </is>
      </c>
    </row>
    <row r="5" ht="27" customHeight="1">
      <c r="B5" s="18" t="inlineStr">
        <is>
          <t>Çözümlü örnek</t>
        </is>
      </c>
      <c r="C5" s="18" t="inlineStr">
        <is>
          <t>Görev</t>
        </is>
      </c>
    </row>
    <row r="6">
      <c r="A6" s="3" t="inlineStr">
        <is>
          <t>[G] Kredi tutarı</t>
        </is>
      </c>
      <c r="B6" s="9" t="n">
        <v>100000</v>
      </c>
      <c r="C6" s="9" t="n">
        <v>250000</v>
      </c>
    </row>
    <row r="7">
      <c r="A7" s="3" t="inlineStr">
        <is>
          <t>[G] Aylık faiz oranı</t>
        </is>
      </c>
      <c r="B7" s="10" t="n">
        <v>0.03</v>
      </c>
      <c r="C7" s="10" t="n">
        <v>0.025</v>
      </c>
    </row>
    <row r="8">
      <c r="A8" s="3" t="inlineStr">
        <is>
          <t>[G] Vade (ay)</t>
        </is>
      </c>
      <c r="B8" s="11" t="n">
        <v>12</v>
      </c>
      <c r="C8" s="11" t="n">
        <v>36</v>
      </c>
    </row>
    <row r="9">
      <c r="A9" s="3" t="inlineStr">
        <is>
          <t>[H] Taksit, elle formül</t>
        </is>
      </c>
      <c r="B9" s="13">
        <f>B6*B7/(1-(1+B7)^(-B8))</f>
        <v/>
      </c>
      <c r="C9" s="16" t="n"/>
      <c r="D9" s="7" t="inlineStr">
        <is>
          <t>Formül: =B6*B7/(1-(1+B7)^(-B8)). Fonksiyon adı ve argüman ayracı içermediği için her Excel dilinde aynı yazılır. C9 elle, sürüklemeden yazılır.</t>
        </is>
      </c>
    </row>
    <row r="10">
      <c r="A10" s="3" t="inlineStr">
        <is>
          <t>[H] Taksit, PMT</t>
        </is>
      </c>
      <c r="B10" s="13">
        <f>-PMT(B7,B8,B6)</f>
        <v/>
      </c>
      <c r="C10" s="16" t="n"/>
      <c r="D10" s="7" t="inlineStr">
        <is>
          <t>Formül: =-PMT(B7,B8,B6)</t>
        </is>
      </c>
    </row>
    <row r="11">
      <c r="A11" s="3" t="inlineStr">
        <is>
          <t>[S] Fark</t>
        </is>
      </c>
      <c r="B11" s="14">
        <f>B9-B10</f>
        <v/>
      </c>
      <c r="C11" s="21" t="n"/>
      <c r="D11" s="7" t="inlineStr">
        <is>
          <t>0 çıkmalı. H7'de bu formül bir Python fonksiyonu olarak yazılır.</t>
        </is>
      </c>
    </row>
    <row r="13">
      <c r="A13" s="8" t="inlineStr">
        <is>
          <t>İleri 2: tahsis ücretli kredinin aylık maliyeti (RATE)</t>
        </is>
      </c>
    </row>
    <row r="14" ht="27" customHeight="1">
      <c r="B14" s="18" t="inlineStr">
        <is>
          <t>Çözümlü örnek</t>
        </is>
      </c>
      <c r="C14" s="18" t="inlineStr">
        <is>
          <t>Görev</t>
        </is>
      </c>
    </row>
    <row r="15">
      <c r="A15" s="3" t="inlineStr">
        <is>
          <t>[G] Kredi tutarı (sözleşmede yazan)</t>
        </is>
      </c>
      <c r="B15" s="9" t="n">
        <v>100000</v>
      </c>
      <c r="C15" s="9" t="n">
        <v>150000</v>
      </c>
    </row>
    <row r="16">
      <c r="A16" s="3" t="inlineStr">
        <is>
          <t>[G] Akdi aylık faiz (ilan edilen oran)</t>
        </is>
      </c>
      <c r="B16" s="10" t="n">
        <v>0.03</v>
      </c>
      <c r="C16" s="10" t="n">
        <v>0.0279</v>
      </c>
    </row>
    <row r="17">
      <c r="A17" s="3" t="inlineStr">
        <is>
          <t>[G] Vade (ay)</t>
        </is>
      </c>
      <c r="B17" s="11" t="n">
        <v>12</v>
      </c>
      <c r="C17" s="11" t="n">
        <v>12</v>
      </c>
    </row>
    <row r="18">
      <c r="A18" s="3" t="inlineStr">
        <is>
          <t>[G] Tahsis ücreti (kredi verilirken peşin kesilen)</t>
        </is>
      </c>
      <c r="B18" s="9" t="n">
        <v>500</v>
      </c>
      <c r="C18" s="9" t="n">
        <v>750</v>
      </c>
    </row>
    <row r="19">
      <c r="A19" s="3" t="inlineStr">
        <is>
          <t>[H] Aylık taksit (sözleşme tutarı üzerinden)</t>
        </is>
      </c>
      <c r="B19" s="13">
        <f>-PMT(B16,B17,B15)</f>
        <v/>
      </c>
      <c r="C19" s="16" t="n"/>
      <c r="D19" s="7" t="inlineStr">
        <is>
          <t>Formül: =-PMT(B16,B17,B15). Taksit ücretten etkilenmez.</t>
        </is>
      </c>
    </row>
    <row r="20">
      <c r="A20" s="3" t="inlineStr">
        <is>
          <t>[H] Ele geçen tutar</t>
        </is>
      </c>
      <c r="B20" s="13">
        <f>B15-B18</f>
        <v/>
      </c>
      <c r="C20" s="16" t="n"/>
    </row>
    <row r="21">
      <c r="A21" s="3" t="inlineStr">
        <is>
          <t>[H] Aylık maliyet (ücret dahil)</t>
        </is>
      </c>
      <c r="B21" s="15">
        <f>RATE(B17,-B19,B20)</f>
        <v/>
      </c>
      <c r="C21" s="17" t="n"/>
      <c r="D21" s="7" t="inlineStr">
        <is>
          <t>Formül: =RATE(B17,-B19,B20): B20 kadar para alınıp B17 ay boyunca her ay B19 ödenirse aylık oran.</t>
        </is>
      </c>
    </row>
    <row r="22">
      <c r="A22" s="3" t="inlineStr">
        <is>
          <t>[Y] Aylık maliyet - akdi aylık faiz (yüzde puan)</t>
        </is>
      </c>
      <c r="B22" s="15">
        <f>B21-B16</f>
        <v/>
      </c>
      <c r="C22" s="17" t="n"/>
      <c r="D22" s="7" t="inlineStr">
        <is>
          <t>İki oranın farkı: hücre yüzde biçimli olduğu için yanında % görünür, ama okunuşu yüzde puandır (H2). Ücret akdi faizi değiştirmez, ama maliyeti artırır. Yıllık karşılığı, puana çevirme ve IRR ile sağlama: Finans sayfası, finans alıştırması.</t>
        </is>
      </c>
    </row>
    <row r="24">
      <c r="A24" s="8" t="inlineStr">
        <is>
          <t>İleri 3: kaç ay sürer? (NPER)</t>
        </is>
      </c>
    </row>
    <row r="25" ht="27" customHeight="1">
      <c r="B25" s="18" t="inlineStr">
        <is>
          <t>Çözümlü örnek: kredi</t>
        </is>
      </c>
      <c r="C25" s="18" t="inlineStr">
        <is>
          <t>Görev: birikim</t>
        </is>
      </c>
    </row>
    <row r="26">
      <c r="A26" s="3" t="inlineStr">
        <is>
          <t>[G] Aylık faiz oranı</t>
        </is>
      </c>
      <c r="B26" s="10" t="n">
        <v>0.03</v>
      </c>
      <c r="C26" s="10" t="n">
        <v>0.025</v>
      </c>
    </row>
    <row r="27">
      <c r="A27" s="3" t="inlineStr">
        <is>
          <t>[G] Her ay ödenen ya da yatırılan tutar</t>
        </is>
      </c>
      <c r="B27" s="9" t="n">
        <v>7500</v>
      </c>
      <c r="C27" s="9" t="n">
        <v>2000</v>
      </c>
    </row>
    <row r="28">
      <c r="A28" s="3" t="inlineStr">
        <is>
          <t>[G] Bugün ele geçen tutar (pv)</t>
        </is>
      </c>
      <c r="B28" s="9" t="n">
        <v>100000</v>
      </c>
      <c r="C28" s="9" t="n">
        <v>0</v>
      </c>
    </row>
    <row r="29">
      <c r="A29" s="3" t="inlineStr">
        <is>
          <t>[G] Sonunda ele geçecek tutar (fv)</t>
        </is>
      </c>
      <c r="B29" s="9" t="n">
        <v>0</v>
      </c>
      <c r="C29" s="9" t="n">
        <v>50000</v>
      </c>
    </row>
    <row r="30">
      <c r="A30" s="3" t="inlineStr">
        <is>
          <t>[İ] İşaret</t>
        </is>
      </c>
      <c r="D30" s="7" t="inlineStr">
        <is>
          <t>Gelen para artı, çıkan para eksi: her ayki ödeme -B27; pv ve fv artı.</t>
        </is>
      </c>
    </row>
    <row r="31">
      <c r="A31" s="3" t="inlineStr">
        <is>
          <t>[H] Dönem sayısı (ay)</t>
        </is>
      </c>
      <c r="B31" s="32">
        <f>NPER(B26,-B27,B28,B29)</f>
        <v/>
      </c>
      <c r="C31" s="22" t="n"/>
      <c r="D31" s="7" t="inlineStr">
        <is>
          <t>Formül: =NPER(B26,-B27,B28,B29). Sonuç tam sayı değilse tam taksitler yetmez; son ayda daha küçük bir ödeme gerekir.</t>
        </is>
      </c>
    </row>
    <row r="32">
      <c r="A32" s="3" t="inlineStr">
        <is>
          <t>[Y] Yorum</t>
        </is>
      </c>
      <c r="D32" s="7" t="inlineStr">
        <is>
          <t>Aynı fonksiyon hem kredi hem birikim için çalışır; fark yalnız hangi girdinin 0 olduğundadır.</t>
        </is>
      </c>
    </row>
    <row r="33">
      <c r="A33" s="3" t="inlineStr">
        <is>
          <t>[S] Sağlama: bulunan ay sayısıyla PV - pv</t>
        </is>
      </c>
      <c r="B33" s="14">
        <f>PV(B26,B31,-B27,B29)-B28</f>
        <v/>
      </c>
      <c r="C33" s="21" t="n"/>
      <c r="D33" s="7" t="inlineStr">
        <is>
          <t>Formül: =PV(B26,B31,-B27,B29)-B28. Bulunan ay sayısını geri koyunca başlangıca dönülmeli, 0 çıkmalı.</t>
        </is>
      </c>
    </row>
    <row r="35">
      <c r="A35" s="8" t="inlineStr">
        <is>
          <t>İleri 4: yıllık nominal ve etkin oran (EFFECT, NOMINAL)</t>
        </is>
      </c>
    </row>
    <row r="36" ht="27" customHeight="1">
      <c r="B36" s="18" t="inlineStr">
        <is>
          <t>Çözümlü örnek</t>
        </is>
      </c>
      <c r="C36" s="18" t="inlineStr">
        <is>
          <t>Görev</t>
        </is>
      </c>
    </row>
    <row r="37">
      <c r="A37" s="3" t="inlineStr">
        <is>
          <t>[G] Aylık faiz oranı</t>
        </is>
      </c>
      <c r="B37" s="10" t="n">
        <v>0.03</v>
      </c>
      <c r="C37" s="10" t="n">
        <v>0.0375</v>
      </c>
    </row>
    <row r="38">
      <c r="A38" s="3" t="inlineStr">
        <is>
          <t>[G] Yılda dönem sayısı</t>
        </is>
      </c>
      <c r="B38" s="11" t="n">
        <v>12</v>
      </c>
      <c r="C38" s="11" t="n">
        <v>12</v>
      </c>
    </row>
    <row r="39">
      <c r="A39" s="3" t="inlineStr">
        <is>
          <t>[H] Yıllık nominal oran</t>
        </is>
      </c>
      <c r="B39" s="15">
        <f>B37*B38</f>
        <v/>
      </c>
      <c r="C39" s="17" t="n"/>
      <c r="D39" s="7" t="inlineStr">
        <is>
          <t>Aylık oran × yılda dönem sayısı (B38). Faizin faizi hesaba katılmaz.</t>
        </is>
      </c>
    </row>
    <row r="40">
      <c r="A40" s="3" t="inlineStr">
        <is>
          <t>[H] Yıllık etkin oran</t>
        </is>
      </c>
      <c r="B40" s="15">
        <f>EFFECT(B39,B38)</f>
        <v/>
      </c>
      <c r="C40" s="17" t="n"/>
      <c r="D40" s="7" t="inlineStr">
        <is>
          <t>Formül: =EFFECT(B39,B38): faizin faizi dahil yıllık oran.</t>
        </is>
      </c>
    </row>
    <row r="41">
      <c r="A41" s="3" t="inlineStr">
        <is>
          <t>[S] Sağlama: bileşik formül</t>
        </is>
      </c>
      <c r="B41" s="15">
        <f>(1+B37)^B38-1</f>
        <v/>
      </c>
      <c r="C41" s="17" t="n"/>
      <c r="D41" s="7" t="inlineStr">
        <is>
          <t>H2'deki bileşik faiz: (1 + aylık oran) ^ yılda dönem sayısı (B38) - 1</t>
        </is>
      </c>
    </row>
    <row r="42">
      <c r="A42" s="3" t="inlineStr">
        <is>
          <t>[S] Fark</t>
        </is>
      </c>
      <c r="B42" s="14">
        <f>B40-B41</f>
        <v/>
      </c>
      <c r="C42" s="21" t="n"/>
    </row>
    <row r="43">
      <c r="A43" s="3" t="inlineStr">
        <is>
          <t>[H] Etkinden nominale geri</t>
        </is>
      </c>
      <c r="B43" s="15">
        <f>NOMINAL(B40,B38)</f>
        <v/>
      </c>
      <c r="C43" s="17" t="n"/>
      <c r="D43" s="7" t="inlineStr">
        <is>
          <t>Formül: =NOMINAL(B40,B38): baştaki nominal oran geri gelmeli.</t>
        </is>
      </c>
    </row>
    <row r="45">
      <c r="A45" s="8" t="inlineStr">
        <is>
          <t>İleri 5 (yalnız okuma): tarihli akışlar (XNPV, XIRR)</t>
        </is>
      </c>
    </row>
    <row r="46">
      <c r="A46" s="7" t="inlineStr">
        <is>
          <t>Akışlar eşit aralıklı değilse NPV yerine XNPV kullanılır. İlk tarih bugündür ve iskonto edilmez; gün sayısı / 365 ile iskonto edilir.</t>
        </is>
      </c>
    </row>
    <row r="47" ht="27" customHeight="1">
      <c r="A47" s="18" t="inlineStr">
        <is>
          <t>Akış</t>
        </is>
      </c>
      <c r="B47" s="18" t="inlineStr">
        <is>
          <t>Tarih</t>
        </is>
      </c>
      <c r="C47" s="18" t="inlineStr">
        <is>
          <t>Nakit akışı</t>
        </is>
      </c>
    </row>
    <row r="48">
      <c r="A48" s="3" t="inlineStr">
        <is>
          <t>Yatırım (bugün)</t>
        </is>
      </c>
      <c r="B48" s="30" t="n">
        <v>46300</v>
      </c>
      <c r="C48" s="9" t="n">
        <v>-10000</v>
      </c>
    </row>
    <row r="49">
      <c r="A49" s="3" t="inlineStr">
        <is>
          <t>1. giriş (6 ay sonra)</t>
        </is>
      </c>
      <c r="B49" s="30" t="n">
        <v>46482</v>
      </c>
      <c r="C49" s="9" t="n">
        <v>3000</v>
      </c>
    </row>
    <row r="50">
      <c r="A50" s="3" t="inlineStr">
        <is>
          <t>2. giriş (1 yıl sonra)</t>
        </is>
      </c>
      <c r="B50" s="30" t="n">
        <v>46665</v>
      </c>
      <c r="C50" s="9" t="n">
        <v>4200</v>
      </c>
    </row>
    <row r="51">
      <c r="A51" s="3" t="inlineStr">
        <is>
          <t>3. giriş (2 yıl sonra)</t>
        </is>
      </c>
      <c r="B51" s="30" t="n">
        <v>47031</v>
      </c>
      <c r="C51" s="9" t="n">
        <v>6800</v>
      </c>
    </row>
    <row r="52">
      <c r="A52" s="3" t="inlineStr">
        <is>
          <t>[G] İstenen getiri (yıllık)</t>
        </is>
      </c>
      <c r="B52" s="10" t="n">
        <v>0.1</v>
      </c>
    </row>
    <row r="53">
      <c r="A53" s="3" t="inlineStr">
        <is>
          <t>[H] XNPV</t>
        </is>
      </c>
      <c r="B53" s="13">
        <f>XNPV(B52,C48:C51,B48:B51)</f>
        <v/>
      </c>
      <c r="D53" s="7" t="inlineStr">
        <is>
          <t>Formül: =XNPV(B52,C48:C51,B48:B51)</t>
        </is>
      </c>
    </row>
    <row r="54">
      <c r="A54" s="3" t="inlineStr">
        <is>
          <t>[H] XIRR</t>
        </is>
      </c>
      <c r="B54" s="15">
        <f>XIRR(C48:C51,B48:B51)</f>
        <v/>
      </c>
      <c r="D54" s="7" t="inlineStr">
        <is>
          <t>Formül: =XIRR(C48:C51,B48:B51)</t>
        </is>
      </c>
    </row>
    <row r="55">
      <c r="A55" s="7" t="inlineStr">
        <is>
          <t>Aynı tutarlar Hesap sayfasında yıllık aralıkla gelir (NPV: Hesap!B78). Burada para daha erken geldiği için XNPV daha yüksektir.</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H46"/>
  <sheetViews>
    <sheetView showGridLines="1"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20" customWidth="1" min="7" max="7"/>
    <col width="13" customWidth="1" min="8" max="8"/>
  </cols>
  <sheetData>
    <row r="1">
      <c r="A1" s="1" t="inlineStr">
        <is>
          <t>Ev çalışması (notsuz): 24 aylık taşıt kredisi</t>
        </is>
      </c>
    </row>
    <row r="2">
      <c r="A2" s="7" t="inlineStr">
        <is>
          <t>Alıştırmadaki tablo bu kez 24 ay için kurulur. Varsayımlar öğretim amaçlıdır; gerçek bir banka teklifi değildir.</t>
        </is>
      </c>
    </row>
    <row r="3">
      <c r="A3" s="7" t="inlineStr">
        <is>
          <t>Tüketici kredisinde faizin yanında %15 KKDF (faiz tutarı üzerinden) ve %15 BSMV (bankanın lehine aldığı paralar üzerinden; başlıcası faiz) ödenir; banka tahsis ücreti de alabilir (el kitabı f03, 4. bölüm). Bu dosya bunları içermez. Yasal kredi sınırları da dikkate alınmadı.</t>
        </is>
      </c>
    </row>
    <row r="4">
      <c r="A4" s="8" t="inlineStr">
        <is>
          <t>[G] Varsayımlar</t>
        </is>
      </c>
    </row>
    <row r="5">
      <c r="A5" s="3" t="inlineStr">
        <is>
          <t>Aracın fiyatı</t>
        </is>
      </c>
      <c r="B5" s="9" t="n">
        <v>900000</v>
      </c>
    </row>
    <row r="6">
      <c r="A6" s="3" t="inlineStr">
        <is>
          <t>Peşinat (cepten ödenen)</t>
        </is>
      </c>
      <c r="B6" s="9" t="n">
        <v>400000</v>
      </c>
    </row>
    <row r="7">
      <c r="A7" s="3" t="inlineStr">
        <is>
          <t>Aylık faiz oranı</t>
        </is>
      </c>
      <c r="B7" s="10" t="n">
        <v>0.0249</v>
      </c>
    </row>
    <row r="8">
      <c r="A8" s="3" t="inlineStr">
        <is>
          <t>Vade (ay)</t>
        </is>
      </c>
      <c r="B8" s="11" t="n">
        <v>24</v>
      </c>
    </row>
    <row r="10">
      <c r="A10" s="8" t="inlineStr">
        <is>
          <t>[H] Hesap</t>
        </is>
      </c>
    </row>
    <row r="11">
      <c r="A11" s="3" t="inlineStr">
        <is>
          <t>Kredi tutarı</t>
        </is>
      </c>
      <c r="B11" s="16" t="n"/>
    </row>
    <row r="12">
      <c r="A12" s="3" t="inlineStr">
        <is>
          <t>Aylık taksit</t>
        </is>
      </c>
      <c r="B12" s="16" t="n"/>
    </row>
    <row r="13">
      <c r="A13" s="3" t="inlineStr">
        <is>
          <t>Toplam ödeme</t>
        </is>
      </c>
      <c r="B13" s="16" t="n"/>
    </row>
    <row r="14">
      <c r="A14" s="3" t="inlineStr">
        <is>
          <t>Toplam faiz</t>
        </is>
      </c>
      <c r="B14" s="16" t="n"/>
    </row>
    <row r="15">
      <c r="A15" s="3" t="inlineStr">
        <is>
          <t>Toplam maliyet (peşinat + ödemeler)</t>
        </is>
      </c>
      <c r="B15" s="16" t="n"/>
    </row>
    <row r="17" ht="27" customHeight="1">
      <c r="A17" s="18" t="inlineStr">
        <is>
          <t>Dönem</t>
        </is>
      </c>
      <c r="B17" s="18" t="inlineStr">
        <is>
          <t>Başlangıç borcu</t>
        </is>
      </c>
      <c r="C17" s="18" t="inlineStr">
        <is>
          <t>Faiz</t>
        </is>
      </c>
      <c r="D17" s="18" t="inlineStr">
        <is>
          <t>Anapara</t>
        </is>
      </c>
      <c r="E17" s="18" t="inlineStr">
        <is>
          <t>Taksit</t>
        </is>
      </c>
      <c r="F17" s="18" t="inlineStr">
        <is>
          <t>Kalan borç</t>
        </is>
      </c>
      <c r="G17" s="18" t="inlineStr">
        <is>
          <t>Sağlama: IPMT</t>
        </is>
      </c>
      <c r="H17" s="18" t="inlineStr">
        <is>
          <t>Fark</t>
        </is>
      </c>
    </row>
    <row r="18">
      <c r="A18" s="19" t="n">
        <v>0</v>
      </c>
      <c r="F18" s="13">
        <f>B11</f>
        <v/>
      </c>
    </row>
    <row r="19">
      <c r="A19" s="20">
        <f>A18+1</f>
        <v/>
      </c>
      <c r="B19" s="16" t="n"/>
      <c r="C19" s="16" t="n"/>
      <c r="D19" s="16" t="n"/>
      <c r="E19" s="16" t="n"/>
      <c r="F19" s="16" t="n"/>
      <c r="G19" s="16" t="n"/>
      <c r="H19" s="21" t="n"/>
    </row>
    <row r="20">
      <c r="A20" s="20">
        <f>A19+1</f>
        <v/>
      </c>
      <c r="B20" s="16" t="n"/>
      <c r="C20" s="16" t="n"/>
      <c r="D20" s="16" t="n"/>
      <c r="E20" s="16" t="n"/>
      <c r="F20" s="16" t="n"/>
      <c r="G20" s="16" t="n"/>
      <c r="H20" s="21" t="n"/>
    </row>
    <row r="21">
      <c r="A21" s="20">
        <f>A20+1</f>
        <v/>
      </c>
      <c r="B21" s="16" t="n"/>
      <c r="C21" s="16" t="n"/>
      <c r="D21" s="16" t="n"/>
      <c r="E21" s="16" t="n"/>
      <c r="F21" s="16" t="n"/>
      <c r="G21" s="16" t="n"/>
      <c r="H21" s="21" t="n"/>
    </row>
    <row r="22">
      <c r="A22" s="20">
        <f>A21+1</f>
        <v/>
      </c>
      <c r="B22" s="16" t="n"/>
      <c r="C22" s="16" t="n"/>
      <c r="D22" s="16" t="n"/>
      <c r="E22" s="16" t="n"/>
      <c r="F22" s="16" t="n"/>
      <c r="G22" s="16" t="n"/>
      <c r="H22" s="21" t="n"/>
    </row>
    <row r="23">
      <c r="A23" s="20">
        <f>A22+1</f>
        <v/>
      </c>
      <c r="B23" s="16" t="n"/>
      <c r="C23" s="16" t="n"/>
      <c r="D23" s="16" t="n"/>
      <c r="E23" s="16" t="n"/>
      <c r="F23" s="16" t="n"/>
      <c r="G23" s="16" t="n"/>
      <c r="H23" s="21" t="n"/>
    </row>
    <row r="24">
      <c r="A24" s="20">
        <f>A23+1</f>
        <v/>
      </c>
      <c r="B24" s="16" t="n"/>
      <c r="C24" s="16" t="n"/>
      <c r="D24" s="16" t="n"/>
      <c r="E24" s="16" t="n"/>
      <c r="F24" s="16" t="n"/>
      <c r="G24" s="16" t="n"/>
      <c r="H24" s="21" t="n"/>
    </row>
    <row r="25">
      <c r="A25" s="20">
        <f>A24+1</f>
        <v/>
      </c>
      <c r="B25" s="16" t="n"/>
      <c r="C25" s="16" t="n"/>
      <c r="D25" s="16" t="n"/>
      <c r="E25" s="16" t="n"/>
      <c r="F25" s="16" t="n"/>
      <c r="G25" s="16" t="n"/>
      <c r="H25" s="21" t="n"/>
    </row>
    <row r="26">
      <c r="A26" s="20">
        <f>A25+1</f>
        <v/>
      </c>
      <c r="B26" s="16" t="n"/>
      <c r="C26" s="16" t="n"/>
      <c r="D26" s="16" t="n"/>
      <c r="E26" s="16" t="n"/>
      <c r="F26" s="16" t="n"/>
      <c r="G26" s="16" t="n"/>
      <c r="H26" s="21" t="n"/>
    </row>
    <row r="27">
      <c r="A27" s="20">
        <f>A26+1</f>
        <v/>
      </c>
      <c r="B27" s="16" t="n"/>
      <c r="C27" s="16" t="n"/>
      <c r="D27" s="16" t="n"/>
      <c r="E27" s="16" t="n"/>
      <c r="F27" s="16" t="n"/>
      <c r="G27" s="16" t="n"/>
      <c r="H27" s="21" t="n"/>
    </row>
    <row r="28">
      <c r="A28" s="20">
        <f>A27+1</f>
        <v/>
      </c>
      <c r="B28" s="16" t="n"/>
      <c r="C28" s="16" t="n"/>
      <c r="D28" s="16" t="n"/>
      <c r="E28" s="16" t="n"/>
      <c r="F28" s="16" t="n"/>
      <c r="G28" s="16" t="n"/>
      <c r="H28" s="21" t="n"/>
    </row>
    <row r="29">
      <c r="A29" s="20">
        <f>A28+1</f>
        <v/>
      </c>
      <c r="B29" s="16" t="n"/>
      <c r="C29" s="16" t="n"/>
      <c r="D29" s="16" t="n"/>
      <c r="E29" s="16" t="n"/>
      <c r="F29" s="16" t="n"/>
      <c r="G29" s="16" t="n"/>
      <c r="H29" s="21" t="n"/>
    </row>
    <row r="30">
      <c r="A30" s="20">
        <f>A29+1</f>
        <v/>
      </c>
      <c r="B30" s="16" t="n"/>
      <c r="C30" s="16" t="n"/>
      <c r="D30" s="16" t="n"/>
      <c r="E30" s="16" t="n"/>
      <c r="F30" s="16" t="n"/>
      <c r="G30" s="16" t="n"/>
      <c r="H30" s="21" t="n"/>
    </row>
    <row r="31">
      <c r="A31" s="20">
        <f>A30+1</f>
        <v/>
      </c>
      <c r="B31" s="16" t="n"/>
      <c r="C31" s="16" t="n"/>
      <c r="D31" s="16" t="n"/>
      <c r="E31" s="16" t="n"/>
      <c r="F31" s="16" t="n"/>
      <c r="G31" s="16" t="n"/>
      <c r="H31" s="21" t="n"/>
    </row>
    <row r="32">
      <c r="A32" s="20">
        <f>A31+1</f>
        <v/>
      </c>
      <c r="B32" s="16" t="n"/>
      <c r="C32" s="16" t="n"/>
      <c r="D32" s="16" t="n"/>
      <c r="E32" s="16" t="n"/>
      <c r="F32" s="16" t="n"/>
      <c r="G32" s="16" t="n"/>
      <c r="H32" s="21" t="n"/>
    </row>
    <row r="33">
      <c r="A33" s="20">
        <f>A32+1</f>
        <v/>
      </c>
      <c r="B33" s="16" t="n"/>
      <c r="C33" s="16" t="n"/>
      <c r="D33" s="16" t="n"/>
      <c r="E33" s="16" t="n"/>
      <c r="F33" s="16" t="n"/>
      <c r="G33" s="16" t="n"/>
      <c r="H33" s="21" t="n"/>
    </row>
    <row r="34">
      <c r="A34" s="20">
        <f>A33+1</f>
        <v/>
      </c>
      <c r="B34" s="16" t="n"/>
      <c r="C34" s="16" t="n"/>
      <c r="D34" s="16" t="n"/>
      <c r="E34" s="16" t="n"/>
      <c r="F34" s="16" t="n"/>
      <c r="G34" s="16" t="n"/>
      <c r="H34" s="21" t="n"/>
    </row>
    <row r="35">
      <c r="A35" s="20">
        <f>A34+1</f>
        <v/>
      </c>
      <c r="B35" s="16" t="n"/>
      <c r="C35" s="16" t="n"/>
      <c r="D35" s="16" t="n"/>
      <c r="E35" s="16" t="n"/>
      <c r="F35" s="16" t="n"/>
      <c r="G35" s="16" t="n"/>
      <c r="H35" s="21" t="n"/>
    </row>
    <row r="36">
      <c r="A36" s="20">
        <f>A35+1</f>
        <v/>
      </c>
      <c r="B36" s="16" t="n"/>
      <c r="C36" s="16" t="n"/>
      <c r="D36" s="16" t="n"/>
      <c r="E36" s="16" t="n"/>
      <c r="F36" s="16" t="n"/>
      <c r="G36" s="16" t="n"/>
      <c r="H36" s="21" t="n"/>
    </row>
    <row r="37">
      <c r="A37" s="20">
        <f>A36+1</f>
        <v/>
      </c>
      <c r="B37" s="16" t="n"/>
      <c r="C37" s="16" t="n"/>
      <c r="D37" s="16" t="n"/>
      <c r="E37" s="16" t="n"/>
      <c r="F37" s="16" t="n"/>
      <c r="G37" s="16" t="n"/>
      <c r="H37" s="21" t="n"/>
    </row>
    <row r="38">
      <c r="A38" s="20">
        <f>A37+1</f>
        <v/>
      </c>
      <c r="B38" s="16" t="n"/>
      <c r="C38" s="16" t="n"/>
      <c r="D38" s="16" t="n"/>
      <c r="E38" s="16" t="n"/>
      <c r="F38" s="16" t="n"/>
      <c r="G38" s="16" t="n"/>
      <c r="H38" s="21" t="n"/>
    </row>
    <row r="39">
      <c r="A39" s="20">
        <f>A38+1</f>
        <v/>
      </c>
      <c r="B39" s="16" t="n"/>
      <c r="C39" s="16" t="n"/>
      <c r="D39" s="16" t="n"/>
      <c r="E39" s="16" t="n"/>
      <c r="F39" s="16" t="n"/>
      <c r="G39" s="16" t="n"/>
      <c r="H39" s="21" t="n"/>
    </row>
    <row r="40">
      <c r="A40" s="20">
        <f>A39+1</f>
        <v/>
      </c>
      <c r="B40" s="16" t="n"/>
      <c r="C40" s="16" t="n"/>
      <c r="D40" s="16" t="n"/>
      <c r="E40" s="16" t="n"/>
      <c r="F40" s="16" t="n"/>
      <c r="G40" s="16" t="n"/>
      <c r="H40" s="21" t="n"/>
    </row>
    <row r="41">
      <c r="A41" s="20">
        <f>A40+1</f>
        <v/>
      </c>
      <c r="B41" s="16" t="n"/>
      <c r="C41" s="16" t="n"/>
      <c r="D41" s="16" t="n"/>
      <c r="E41" s="16" t="n"/>
      <c r="F41" s="16" t="n"/>
      <c r="G41" s="16" t="n"/>
      <c r="H41" s="21" t="n"/>
    </row>
    <row r="42">
      <c r="A42" s="20">
        <f>A41+1</f>
        <v/>
      </c>
      <c r="B42" s="16" t="n"/>
      <c r="C42" s="16" t="n"/>
      <c r="D42" s="16" t="n"/>
      <c r="E42" s="16" t="n"/>
      <c r="F42" s="16" t="n"/>
      <c r="G42" s="16" t="n"/>
      <c r="H42" s="21" t="n"/>
    </row>
    <row r="43">
      <c r="A43" s="2" t="inlineStr">
        <is>
          <t>Toplam</t>
        </is>
      </c>
      <c r="C43" s="16" t="n"/>
      <c r="D43" s="16" t="n"/>
      <c r="E43" s="16" t="n"/>
    </row>
    <row r="45">
      <c r="A45" s="3" t="inlineStr">
        <is>
          <t>[S] Son dönemde kalan borç (0 olmalı)</t>
        </is>
      </c>
      <c r="B45" s="21" t="n"/>
    </row>
    <row r="46">
      <c r="A46" s="3" t="inlineStr">
        <is>
          <t>[S] Tablodaki toplam faiz - B14</t>
        </is>
      </c>
      <c r="B46" s="21"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2026-10-13T15:01:12Z</dcterms:created>
  <dcterms:modified xsi:type="dcterms:W3CDTF">2026-10-13T15:01:12Z</dcterms:modified>
</cp:coreProperties>
</file>