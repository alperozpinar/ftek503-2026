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" sheetId="1" state="visible" r:id="rId1"/>
    <sheet name="Finans" sheetId="2" state="visible" r:id="rId2"/>
    <sheet name="Faiz" sheetId="3" state="visible" r:id="rId3"/>
    <sheet name="Hesap" sheetId="4" state="visible" r:id="rId4"/>
    <sheet name="Alistirma" sheetId="5" state="visible" r:id="rId5"/>
    <sheet name="Ileri" sheetId="6" state="visible" r:id="rId6"/>
    <sheet name="Ev" sheetId="7" state="visible" r:id="rId7"/>
    <sheet name="Uygulam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 &quot;TL&quot;"/>
    <numFmt numFmtId="165" formatCode="0.000000"/>
    <numFmt numFmtId="166" formatCode="0.0000%"/>
    <numFmt numFmtId="167" formatCode="0.0000"/>
    <numFmt numFmtId="168" formatCode="#,##0.000000"/>
    <numFmt numFmtId="169" formatCode="#,##0 &quot;TL&quot;"/>
    <numFmt numFmtId="170" formatCode="yyyy-mm-dd"/>
    <numFmt numFmtId="171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595959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0" applyAlignment="1" pivotButton="0" quotePrefix="0" xfId="0">
      <alignment/>
    </xf>
    <xf numFmtId="0" fontId="7" fillId="3" borderId="0" pivotButton="0" quotePrefix="0" xfId="0"/>
    <xf numFmtId="16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0" fontId="3" fillId="0" borderId="1" pivotButton="0" quotePrefix="0" xfId="0"/>
    <xf numFmtId="1" fontId="4" fillId="0" borderId="1" pivotButton="0" quotePrefix="0" xfId="0"/>
    <xf numFmtId="4" fontId="3" fillId="0" borderId="1" pivotButton="0" quotePrefix="0" xfId="0"/>
    <xf numFmtId="0" fontId="2" fillId="4" borderId="1" applyAlignment="1" pivotButton="0" quotePrefix="0" xfId="0">
      <alignment horizontal="center" wrapText="1"/>
    </xf>
    <xf numFmtId="1" fontId="3" fillId="0" borderId="1" pivotButton="0" quotePrefix="0" xfId="0"/>
    <xf numFmtId="165" fontId="5" fillId="0" borderId="1" pivotButton="0" quotePrefix="0" xfId="0"/>
    <xf numFmtId="164" fontId="3" fillId="2" borderId="1" pivotButton="0" quotePrefix="0" xfId="0"/>
    <xf numFmtId="10" fontId="3" fillId="2" borderId="1" pivotButton="0" quotePrefix="0" xfId="0"/>
    <xf numFmtId="0" fontId="0" fillId="2" borderId="1" pivotButton="0" quotePrefix="0" xfId="0"/>
    <xf numFmtId="166" fontId="3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9" fontId="3" fillId="0" borderId="1" pivotButton="0" quotePrefix="0" xfId="0"/>
    <xf numFmtId="0" fontId="4" fillId="0" borderId="1" pivotButton="0" quotePrefix="0" xfId="0"/>
    <xf numFmtId="14" fontId="4" fillId="0" borderId="1" pivotButton="0" quotePrefix="0" xfId="0"/>
    <xf numFmtId="0" fontId="3" fillId="0" borderId="1" pivotButton="0" quotePrefix="0" xfId="0"/>
    <xf numFmtId="11" fontId="3" fillId="0" borderId="1" pivotButton="0" quotePrefix="0" xfId="0"/>
    <xf numFmtId="165" fontId="3" fillId="2" borderId="1" pivotButton="0" quotePrefix="0" xfId="0"/>
    <xf numFmtId="171" fontId="3" fillId="2" borderId="1" pivotButton="0" quotePrefix="0" xfId="0"/>
    <xf numFmtId="166" fontId="3" fillId="2" borderId="1" pivotButton="0" quotePrefix="0" xfId="0"/>
    <xf numFmtId="1" fontId="3" fillId="2" borderId="1" pivotButton="0" quotePrefix="0" xfId="0"/>
    <xf numFmtId="4" fontId="3" fillId="2" borderId="1" pivotButton="0" quotePrefix="0" xfId="0"/>
    <xf numFmtId="167" fontId="3" fillId="2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FTEK 503</author>
  </authors>
  <commentList>
    <comment ref="B8" authorId="0" shapeId="0">
      <text>
        <t>Girdi: hücrede 0,40 saklanır, yüzde biçimiyle görünür.</t>
      </text>
    </comment>
    <comment ref="B24" authorId="0" shapeId="0">
      <text>
        <t>Birim çevirme: 0,05'lik oran farkı 5 yüzde puandır. Varsayım değil; formüle gömülmesin diye kendi hücresinde.</t>
      </text>
    </comment>
    <comment ref="B33" authorId="0" shapeId="0">
      <text>
        <t>Düşüş eksi yazılır: -0,50. Çarpanı 1+(-0,50) = 0,50.</t>
      </text>
    </comment>
    <comment ref="A51" authorId="0" shapeId="0">
      <text>
        <t>Elle yazılmış başlangıç ayı (0). Formül değil; alttaki aylar =üstteki+1 ile gelir.</t>
      </text>
    </comment>
    <comment ref="B85" authorId="0" shapeId="0">
      <text>
        <t>Başlangıç fiyatı × (1 + zam). 1. örnekteki B10 kalıbı.</t>
      </text>
    </comment>
    <comment ref="B86" authorId="0" shapeId="0">
      <text>
        <t>Zamlı fiyat × (1 + indirim). İndirim eksi yazıldığı için çarpan 1'den küçüktür.</t>
      </text>
    </comment>
    <comment ref="B87" authorId="0" shapeId="0">
      <text>
        <t>Yeni / eski - 1. Eski değer başlangıç fiyatıdır (2. örnek).</t>
      </text>
    </comment>
    <comment ref="B92" authorId="0" shapeId="0">
      <text>
        <t>Aylık oran × ay sayısı. 5. örnekteki B45 kalıbı.</t>
      </text>
    </comment>
    <comment ref="B93" authorId="0" shapeId="0">
      <text>
        <t>(1 + aylık oran) üzeri ay sayısı, eksi 1. 5. örnekteki B46 kalıbı.</t>
      </text>
    </comment>
    <comment ref="B96" authorId="0" shapeId="0">
      <text>
        <t>İki sonuç birer cümleyle yorumlanır: zam ile indirim neden birbirini götürmemiştir? Aylık %4 faiz faize işleyince neden yılda 12 × %4'ten fazla eder?</t>
      </text>
    </comment>
  </commentList>
</comments>
</file>

<file path=xl/comments/comment2.xml><?xml version="1.0" encoding="utf-8"?>
<comments xmlns="http://schemas.openxmlformats.org/spreadsheetml/2006/main">
  <authors>
    <author>FTEK 503</author>
  </authors>
  <commentList>
    <comment ref="B32" authorId="0" shapeId="0">
      <text>
        <t>Varsayım: yıllık nominal %40. Gerçek bir teklif değildir.</t>
      </text>
    </comment>
    <comment ref="B34" authorId="0" shapeId="0">
      <text>
        <t>Birim çevirme: 0,0727'lik oran farkı 7,27 yüzde puandır; 72 kuralı oranı yüzde sayısı (40) olarak ister. Varsayım değil; formüle gömülmesin diye kendi hücresinde.</t>
      </text>
    </comment>
    <comment ref="B74" authorId="0" shapeId="0">
      <text>
        <t>TCMB PPK kararı, 10.09.2026: politika faizi (bir hafta vadeli repo ihale faiz oranı) %37'de sabit. https://www.tcmb.gov.tr/wps/wcm/connect/tr/tcmb+tr/main+menu/duyurular/basin/2026/duy2026-38</t>
      </text>
    </comment>
    <comment ref="B75" authorId="0" shapeId="0">
      <text>
        <t>TÜİK verisi, TCMB Tüketici Fiyatları tablosu (yıllık % değişim), erişim 06.10.2026: https://www.tcmb.gov.tr/wps/wcm/connect/TR/TCMB+TR/Main+Menu/Istatistikler/Enflasyon+Verileri/Tuketici+Fiyatlari</t>
      </text>
    </comment>
    <comment ref="B76" authorId="0" shapeId="0">
      <text>
        <t>TÜİK verisi, TCMB Tüketici Fiyatları tablosu (yıllık % değişim), erişim 06.10.2026: https://www.tcmb.gov.tr/wps/wcm/connect/TR/TCMB+TR/Main+Menu/Istatistikler/Enflasyon+Verileri/Tuketici+Fiyatlari</t>
      </text>
    </comment>
    <comment ref="B87" authorId="0" shapeId="0">
      <text>
        <t>Pratik kural: süre ≈ 72 / (yüzde olarak oran). Kesin değil, yaklaşık.</t>
      </text>
    </comment>
  </commentList>
</comments>
</file>

<file path=xl/comments/comment3.xml><?xml version="1.0" encoding="utf-8"?>
<comments xmlns="http://schemas.openxmlformats.org/spreadsheetml/2006/main">
  <authors>
    <author>FTEK 503</author>
  </authors>
  <commentList>
    <comment ref="B1" authorId="0" shapeId="0">
      <text>
        <t>Girdi: yatırılan tutar. Değiştirildiğinde bütün sayfa yeniden hesaplanır.</t>
      </text>
    </comment>
    <comment ref="B2" authorId="0" shapeId="0">
      <text>
        <t>Girdi: yıllık faiz oranı. Hücrede 0,40 saklanır; yüzde biçimiyle görünür.</t>
      </text>
    </comment>
    <comment ref="B3" authorId="0" shapeId="0">
      <text>
        <t>Girdi: faizin kaç yıl işleyeceği.</t>
      </text>
    </comment>
    <comment ref="A8" authorId="0" shapeId="0">
      <text>
        <t>Elle yazılmış başlangıç yılı (0). Formül değil; alttaki yıllar =üstteki+1 ile gelir.</t>
      </text>
    </comment>
    <comment ref="A20" authorId="0" shapeId="0">
      <text>
        <t>Elle yazılmış başlangıç yılı (0). Formül değil; alttaki yıllar =üstteki+1 ile gelir.</t>
      </text>
    </comment>
    <comment ref="B27" authorId="0" shapeId="0">
      <text>
        <t>Girdi: 0 = tam sayıya yuvarlama. 2 yazıldığında aşağıdaki fark 1 kuruşa iner.</t>
      </text>
    </comment>
    <comment ref="B52" authorId="0" shapeId="0">
      <text>
        <t>Girdi: H2 haftasının ilk günü. Kısa tarih biçimi; bilgisayarın bölge ayarına göre görünür.</t>
      </text>
    </comment>
    <comment ref="C60" authorId="0" shapeId="0">
      <text>
        <t>Bu hücre metindir: '3000 yazılmış gibidir. Sola yaslıdır; köşesinde yeşil bir üçgen görünebilir.</t>
      </text>
    </comment>
    <comment ref="D60" authorId="0" shapeId="0">
      <text>
        <t>Bu hücre metindir: sayının yanına birim yazılmıştır.</t>
      </text>
    </comment>
  </commentList>
</comments>
</file>

<file path=xl/comments/comment4.xml><?xml version="1.0" encoding="utf-8"?>
<comments xmlns="http://schemas.openxmlformats.org/spreadsheetml/2006/main">
  <authors>
    <author>FTEK 503</author>
  </authors>
  <commentList>
    <comment ref="A11" authorId="0" shapeId="0">
      <text>
        <t>Elle yazılmış başlangıç yılı (0). Formül değil; alttaki yıllar =üstteki+1 ile gelir.</t>
      </text>
    </comment>
    <comment ref="F11" authorId="0" shapeId="0">
      <text>
        <t>Bileşik bakiye eksi basit bakiye. 0. yılda fark kaç olmalı?</t>
      </text>
    </comment>
    <comment ref="B12" authorId="0" shapeId="0">
      <text>
        <t>Bir önceki yılın bakiyesi × (1 + oran). Oran $B$6 ile sabitlenir, sonra formül B16'ya kadar sürüklenir.</t>
      </text>
    </comment>
    <comment ref="C12" authorId="0" shapeId="0">
      <text>
        <t>Bu yılın bakiyesi eksi geçen yılın bakiyesi.</t>
      </text>
    </comment>
    <comment ref="D12" authorId="0" shapeId="0">
      <text>
        <t>Basit faiz: anapara × (1 + oran × yıl). Yıl A sütunundadır. Anapara ve oran $ ile sabitlenir.</t>
      </text>
    </comment>
    <comment ref="E12" authorId="0" shapeId="0">
      <text>
        <t>Bu yılın basit bakiyesi eksi geçen yılınki.</t>
      </text>
    </comment>
    <comment ref="F12" authorId="0" shapeId="0">
      <text>
        <t>Bileşik bakiye eksi basit bakiye.</t>
      </text>
    </comment>
    <comment ref="C17" authorId="0" shapeId="0">
      <text>
        <t>SUM ile 1-5. yılların bileşik faiz hücreleri. Aralık iki nokta ile yazılır. Kalıp: Hesap!C12.</t>
      </text>
    </comment>
    <comment ref="C18" authorId="0" shapeId="0">
      <text>
        <t>MAX ile aynı aralık. Kalıp: Hesap!C15.</t>
      </text>
    </comment>
    <comment ref="B21" authorId="0" shapeId="0">
      <text>
        <t>Hesap sayfasındaki B6 kalıbı, bu sayfanın girdileriyle.</t>
      </text>
    </comment>
    <comment ref="B22" authorId="0" shapeId="0">
      <text>
        <t>Tablonun son satırındaki bileşik bakiye eksi B21.</t>
      </text>
    </comment>
    <comment ref="B23" authorId="0" shapeId="0">
      <text>
        <t>Hesap sayfasındaki B5 kalıbı, bu sayfanın girdileriyle.</t>
      </text>
    </comment>
    <comment ref="B28" authorId="0" shapeId="0">
      <text>
        <t>5. yılın farkı (F sütununun son satırı) bölü anapara. Farklı anaparalar ancak oranla karşılaştırılabilir.</t>
      </text>
    </comment>
    <comment ref="B29" authorId="0" shapeId="0">
      <text>
        <t>Yorum bu hücreye bir cümleyle yazılır: kaç TL, anaparanın yüzde kaçı, Hesap'takinden neden farklı?</t>
      </text>
    </comment>
  </commentList>
</comments>
</file>

<file path=xl/comments/comment5.xml><?xml version="1.0" encoding="utf-8"?>
<comments xmlns="http://schemas.openxmlformats.org/spreadsheetml/2006/main">
  <authors>
    <author>FTEK 503</author>
  </authors>
  <commentList>
    <comment ref="B8" authorId="0" shapeId="0">
      <text>
        <t>Girdi: faizin yılda kaç kez eklendiği. Aylık 12, üç aylık 4, yıllık 1.</t>
      </text>
    </comment>
    <comment ref="B37" authorId="0" shapeId="0">
      <text>
        <t>Yıllık oran / yılda dönem sayısı (B11'deki kalıp).</t>
      </text>
    </comment>
    <comment ref="B38" authorId="0" shapeId="0">
      <text>
        <t>Yıl × yılda dönem sayısı.</t>
      </text>
    </comment>
    <comment ref="B42" authorId="0" shapeId="0">
      <text>
        <t>Aylık oran ve toplam dönem sayısıyla (B16'daki kalıp).</t>
      </text>
    </comment>
    <comment ref="B44" authorId="0" shapeId="0">
      <text>
        <t>(1 + aylık oran) üzeri yılda dönem sayısı, eksi 1.</t>
      </text>
    </comment>
  </commentList>
</comments>
</file>

<file path=xl/comments/comment6.xml><?xml version="1.0" encoding="utf-8"?>
<comments xmlns="http://schemas.openxmlformats.org/spreadsheetml/2006/main">
  <authors>
    <author>FTEK 503</author>
  </authors>
  <commentList>
    <comment ref="B5" authorId="0" shapeId="0">
      <text>
        <t>Varsayım: Hesap sayfasıyla aynı oran seçilmiştir. Gerçek bir banka teklifi değildir.</t>
      </text>
    </comment>
    <comment ref="D11" authorId="0" shapeId="0">
      <text>
        <t>Gelir eksi gider.</t>
      </text>
    </comment>
    <comment ref="E11" authorId="0" shapeId="0">
      <text>
        <t>İlk ayda kümülatif birikim o ayın birikimidir.</t>
      </text>
    </comment>
    <comment ref="E12" authorId="0" shapeId="0">
      <text>
        <t>Önceki ayın kümülatif birikimi + bu ayın birikimi. Sonra formül aşağı sürüklenir.</t>
      </text>
    </comment>
    <comment ref="B23" authorId="0" shapeId="0">
      <text>
        <t>Bu sütunun 11-22. satırları: SUM. Kalıp: Hesap!C12:C15.</t>
      </text>
    </comment>
    <comment ref="B24" authorId="0" shapeId="0">
      <text>
        <t>Bu sütunun 11-22. satırları: AVERAGE. Kalıp: Hesap!C12:C15.</t>
      </text>
    </comment>
    <comment ref="B25" authorId="0" shapeId="0">
      <text>
        <t>Bu sütunun 11-22. satırları: MIN. Kalıp: Hesap!C12:C15.</t>
      </text>
    </comment>
    <comment ref="B26" authorId="0" shapeId="0">
      <text>
        <t>Bu sütunun 11-22. satırları: MAX. Kalıp: Hesap!C12:C15.</t>
      </text>
    </comment>
    <comment ref="B29" authorId="0" shapeId="0">
      <text>
        <t>Aralık'taki kümülatif birikim, birikim sütununun toplamına (D23) eşit olmalı.</t>
      </text>
    </comment>
    <comment ref="B33" authorId="0" shapeId="0">
      <text>
        <t>Hesap sayfasındaki B5 kalıbı; anapara yerine yıl sonu birikim.</t>
      </text>
    </comment>
    <comment ref="B34" authorId="0" shapeId="0">
      <text>
        <t>Hesap sayfasındaki B6 kalıbı.</t>
      </text>
    </comment>
    <comment ref="B40" authorId="0" shapeId="0">
      <text>
        <t>Fark (B35) bölü yıl sonu birikim (B32).</t>
      </text>
    </comment>
    <comment ref="B41" authorId="0" shapeId="0">
      <text>
        <t>Yorum bu hücreye bir cümleyle yazılır ve Hesap sayfasındaki oranla karşılaştırılır.</t>
      </text>
    </comment>
  </commentList>
</comments>
</file>

<file path=xl/comments/comment7.xml><?xml version="1.0" encoding="utf-8"?>
<comments xmlns="http://schemas.openxmlformats.org/spreadsheetml/2006/main">
  <authors>
    <author>FTEK 503</author>
  </authors>
  <commentList>
    <comment ref="B7" authorId="0" shapeId="0">
      <text>
        <t>Varsayım: yıllık nominal %40 (Faiz sayfasıyla aynı).</t>
      </text>
    </comment>
    <comment ref="B9" authorId="0" shapeId="0">
      <text>
        <t>Birim çevirme (Faiz!B34 ile aynı). Girdi değil; formüle 100 yazılmasın diye kendi hücresinde.</t>
      </text>
    </comment>
    <comment ref="C11" authorId="0" shapeId="0">
      <text>
        <t>Yıllık nominal / m. Oran $B$7 ile sabitlenir, sonra formül aşağı sürüklenir.</t>
      </text>
    </comment>
    <comment ref="D11" authorId="0" shapeId="0">
      <text>
        <t>(1 + dönem oranı)^m - 1. Kalıp: Faiz!D50.</t>
      </text>
    </comment>
    <comment ref="E11" authorId="0" shapeId="0">
      <text>
        <t>EFFECT(nominal oran, m). Fonksiyona dönem oranı değil, nominal oran ($B$7) verilir.</t>
      </text>
    </comment>
    <comment ref="F11" authorId="0" shapeId="0">
      <text>
        <t>Formülle bulunan eksi EFFECT. Her satırda 0 olmalı.</t>
      </text>
    </comment>
    <comment ref="G11" authorId="0" shapeId="0">
      <text>
        <t>Anapara × (1 + yıllık etkin).</t>
      </text>
    </comment>
    <comment ref="H11" authorId="0" shapeId="0">
      <text>
        <t>Anapara × (1 + dönem oranı)^(m × yıl). Toplam dönem sayısı m × süre.</t>
      </text>
    </comment>
    <comment ref="D17" authorId="0" shapeId="0">
      <text>
        <t>EXP: e^r - 1. Kalıp: Faiz!D54.</t>
      </text>
    </comment>
    <comment ref="G17" authorId="0" shapeId="0">
      <text>
        <t>Anapara × e^r.</t>
      </text>
    </comment>
    <comment ref="H17" authorId="0" shapeId="0">
      <text>
        <t>Anapara × e^(r × yıl). Kalıp: Faiz!B41.</t>
      </text>
    </comment>
    <comment ref="B20" authorId="0" shapeId="0">
      <text>
        <t>H11 eksi FV(B7,B8,0,-B6). Kalıp: Faiz!B40.</t>
      </text>
    </comment>
    <comment ref="B21" authorId="0" shapeId="0">
      <text>
        <t>Sürekli bileşiğin yıllık etkin oranıyla yıllık bileşik kurulur; sonuç H17 ile aynı çıkmalıdır.</t>
      </text>
    </comment>
    <comment ref="B22" authorId="0" shapeId="0">
      <text>
        <t>Fark × birim çevirme (B9).</t>
      </text>
    </comment>
    <comment ref="B24" authorId="0" shapeId="0">
      <text>
        <t>m arttıkça etkin oran neden artar ama bir sınırı geçmez? Sınır hangi formül? Günlükten sürekliye geçiş kaç puan ekler; bu fark bir mevduat müşterisi için önemli midir?</t>
      </text>
    </comment>
    <comment ref="B39" authorId="0" shapeId="0">
      <text>
        <t>Varsayım: A teklifinde faiz 365 gün esasıyla hesaplanır.</t>
      </text>
    </comment>
    <comment ref="D42" authorId="0" shapeId="0">
      <text>
        <t>Bir yıla kaç tane 32 günlük vade sığar? Yıldaki gün / vade. Tam sayı olmak zorunda değil.</t>
      </text>
    </comment>
    <comment ref="E42" authorId="0" shapeId="0">
      <text>
        <t>Basit faiz: yıllık oran × gün / yıldaki gün. Bir vadede kazanılan oran.</t>
      </text>
    </comment>
    <comment ref="F42" authorId="0" shapeId="0">
      <text>
        <t>Dönem oranı × m. A, B, C için ilan edilen orana eşit çıkmalı; D için aylık × 12.</t>
      </text>
    </comment>
    <comment ref="G42" authorId="0" shapeId="0">
      <text>
        <t>(1 + dönem oranı)^m - 1. A'da m tam sayı değil; formül yine çalışır.</t>
      </text>
    </comment>
    <comment ref="H42" authorId="0" shapeId="0">
      <text>
        <t>RANK.EQ(sayı, aralık, 0). 0 = büyükten küçüğe. Aralık $ ile sabitlenir.</t>
      </text>
    </comment>
    <comment ref="E43" authorId="0" shapeId="0">
      <text>
        <t>Yıllık oran / yılda dönem sayısı.</t>
      </text>
    </comment>
    <comment ref="E44" authorId="0" shapeId="0">
      <text>
        <t>Yıllık oran / yılda dönem sayısı.</t>
      </text>
    </comment>
    <comment ref="E45" authorId="0" shapeId="0">
      <text>
        <t>Oran zaten aylık: dönem oranı ilan edilen orandır.</t>
      </text>
    </comment>
    <comment ref="B48" authorId="0" shapeId="0">
      <text>
        <t>=EFFECT(F43,D43)-G43.</t>
      </text>
    </comment>
    <comment ref="B49" authorId="0" shapeId="0">
      <text>
        <t>EFFECT(F42, D42). EFFECT 11,40625'i 11'e keser; sonuç G42 ile karşılaştırılır.</t>
      </text>
    </comment>
    <comment ref="B51" authorId="0" shapeId="0">
      <text>
        <t>MAX fonksiyonu.</t>
      </text>
    </comment>
    <comment ref="B52" authorId="0" shapeId="0">
      <text>
        <t>=INDEX(A42:A45,MATCH(B51,G42:G45,0)). MATCH'in 3. argümanı 0: tam eşleşme.</t>
      </text>
    </comment>
    <comment ref="B53" authorId="0" shapeId="0">
      <text>
        <t>A manşette C'den düşük; etkinde?</t>
      </text>
    </comment>
    <comment ref="B55" authorId="0" shapeId="0">
      <text>
        <t>Sıralama ve nedeni 2-3 cümleyle yazılır. Manşet oranı en düşük olan teklif neden etkinde öne geçmiştir? Hangi varsayım değişirse sıralama değişir (oranın vade sonunda düşmesi, stopaj, erken bozma)?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FTEK 503 · H2 Excel I: temel işlemler (basit ve bileşik faiz)</t>
        </is>
      </c>
    </row>
    <row r="2"/>
    <row r="3">
      <c r="B3" s="2" t="inlineStr">
        <is>
          <t>Dosyanın kullanımı</t>
        </is>
      </c>
    </row>
    <row r="4">
      <c r="B4" s="3" t="inlineStr">
        <is>
          <t>Bu dosya H2'nin çalışma dosyasıdır. Sayfaların soldan sağa sırası: Oku, Finans, Faiz, Hesap, Alistirma, Ileri, Ev, Uygulama.</t>
        </is>
      </c>
    </row>
    <row r="5">
      <c r="B5" s="3" t="inlineStr">
        <is>
          <t>Finans: teorinin 5-25. dakikasındaki Finans temeli bloğu. Yüzde, yüzde değişim, yüzde puan, art arda değişimler, faiz ve dönemi, basit ve bileşik faiz için altı çalışılmış örnek; altında notsuz finans alıştırması (sarı hücreler).</t>
        </is>
      </c>
    </row>
    <row r="6">
      <c r="B6" s="3" t="inlineStr">
        <is>
          <t>Finans sayfasının haritası: 6-12 yüzde; 14-19 yüzde değişim; 21-28 yüzde puan; 30-39 art arda değişimler; 41-66 faiz ve dönemi (aylık %3); 68-77 basit ve bileşik faiz; 79-96 alıştırma.</t>
        </is>
      </c>
    </row>
    <row r="7">
      <c r="B7" s="3" t="inlineStr">
        <is>
          <t>El kitabı bölümü: finans-temeli/f02-yuzde-ve-faiz.md (GitHub'da finans-temeli klasöründe). Finans sayfası o bölümün kısa ve hücre başvurulu halidir.</t>
        </is>
      </c>
    </row>
    <row r="8">
      <c r="B8" s="3" t="inlineStr">
        <is>
          <t>Faiz: Finansal Programlama'ya teknik giriş, çalışılmış örnekler. Faiz türleri; iki okuryazarlık sorusu; basit, bileşik ve sürekli bileşik faiz; bileşiklenme sıklığı; nominal ve etkin oran (EFFECT, NOMINAL); reel faiz (TCMB ve TÜİK verisiyle); ikiye katlanma süresi (NPER, LN, 72 kuralı); iskonto (PV).</t>
        </is>
      </c>
    </row>
    <row r="9">
      <c r="B9" s="3" t="inlineStr">
        <is>
          <t>Faiz sayfasının haritası: 6-14 faiz türleri; 16-28 ısınma soruları; 30-34 ortak girdiler; 36-45 basit, bileşik, sürekli; 47-58 bileşiklenme sıklığı; 60-71 nominal ve etkin; 73-83 reel faiz; 85-95 ikiye katlanma; 97-105 iskonto.</t>
        </is>
      </c>
    </row>
    <row r="10">
      <c r="B10" s="3" t="inlineStr">
        <is>
          <t>Hesap: çalışılmış örnek (10.000 TL, yıllık %40, 3 yıl). Sayfa derste birlikte kurulur. Formül, hücre seçilip formül çubuğu okunarak görülür.</t>
        </is>
      </c>
    </row>
    <row r="11">
      <c r="B11" s="3" t="inlineStr">
        <is>
          <t>Hesap sayfasının haritası: 1-15. satırlar girdiler, tek hücre sonuçları, yıl yıl tablo ve fonksiyonlar; 17-24 göreli başvuru hatası; 26-33 ROUND; 35-39 Sağlama; 41-45 Yorum.</t>
        </is>
      </c>
    </row>
    <row r="12">
      <c r="B12" s="3" t="inlineStr">
        <is>
          <t>Hesap sayfasının altında ekler: 47-53 Ek A veri tipleri; 55-65 Ek B metin olarak saklanan sayı; 66-74 Ek C işlem önceliği.</t>
        </is>
      </c>
    </row>
    <row r="13">
      <c r="B13" s="3" t="inlineStr">
        <is>
          <t>Alistirma: çekirdek görev, her öğrenci yapar. 25.000 TL, yıllık %35, 5 yıl için tablo sarı hücrelere yazılır.</t>
        </is>
      </c>
    </row>
    <row r="14">
      <c r="B14" s="3" t="inlineStr">
        <is>
          <t>Ileri: isteğe bağlı. Aylık bileşik ile yıllık bileşik faiz. Önce çözümlü örnek, altında öğrenci görevi yer alır.</t>
        </is>
      </c>
    </row>
    <row r="15">
      <c r="B15" s="3" t="inlineStr">
        <is>
          <t>Ev: notsuz ev çalışması. 12 aylık bütçe tablosu ve yıl sonu birikimin faizle büyümesi.</t>
        </is>
      </c>
    </row>
    <row r="16">
      <c r="B16" s="3" t="inlineStr">
        <is>
          <t>Uygulama: derste 50 dakika. G1 (bileşiklenme sıklığı tablosu ve grafik) ve G2 (dört teklifin karşılaştırması) bu sayfada, sarı hücreler; G3 ve G4 Colab defterinde (h02-excel-temel.ipynb, 'Uygulama G3-G4' bölümü).</t>
        </is>
      </c>
    </row>
    <row r="17">
      <c r="B17" s="3" t="inlineStr">
        <is>
          <t>Alt hedef etiketleri: [G] Girdiler, [D] Dönem ve oran eşleme, [H] Hesap, [S] Sağlama, [Y] Yorum. [İ] İşaret adımı el kitabında (f02, 2.6) tanıtılmıştır; Excel dosyalarına H3'ten itibaren girer.</t>
        </is>
      </c>
    </row>
    <row r="18">
      <c r="B18" s="3" t="inlineStr">
        <is>
          <t>Bu hafta Hesap sayfasının bütün blokları (girdi, hesap, sağlama, yorum) tek sayfadadır. H3'ten itibaren girdiler, hesap ve çıktı ayrı sayfalarda yer alır.</t>
        </is>
      </c>
    </row>
    <row r="19">
      <c r="B19" s="3" t="inlineStr">
        <is>
          <t>Kural: formüle sabit sayı yazılmaz. Her varsayım kendi etiketli mavi hücresinde durur, formül o hücreye başvurur.</t>
        </is>
      </c>
    </row>
    <row r="20">
      <c r="B20" s="3" t="inlineStr">
        <is>
          <t>Excel dosyayı açarken bütün formülleri yeniden hesaplar. Bu nedenle dosyada değişiklik yapılmamış olsa da kapanışta kaydetme sorusu çıkabilir.</t>
        </is>
      </c>
    </row>
    <row r="21">
      <c r="B21" s="3" t="inlineStr">
        <is>
          <t>Ders notu: h02-excel-temel-ders-notu.md (bu dosyayla aynı GitHub klasöründe).</t>
        </is>
      </c>
    </row>
    <row r="22"/>
    <row r="23">
      <c r="B23" s="2" t="inlineStr">
        <is>
          <t>Renkler</t>
        </is>
      </c>
    </row>
    <row r="24">
      <c r="B24" s="4" t="inlineStr">
        <is>
          <t>Mavi yazı: elle girilen girdi. Girdi değiştirildiğinde sonuçlar yeniden hesaplanır.</t>
        </is>
      </c>
    </row>
    <row r="25">
      <c r="B25" s="3" t="inlineStr">
        <is>
          <t>Siyah yazı: formül. Formül, hücre seçilip formül çubuğu okunarak görülür.</t>
        </is>
      </c>
    </row>
    <row r="26">
      <c r="B26" s="5" t="inlineStr">
        <is>
          <t>Yeşil yazı: başka bir sayfadaki hücreye bağlanan formül.</t>
        </is>
      </c>
    </row>
    <row r="27">
      <c r="B27" s="6" t="inlineStr">
        <is>
          <t>Sarı hücre: öğrencinin dolduracağı hücre. Hücrenin açıklama notu, fare imleci hücrenin üzerine getirildiğinde görünür.</t>
        </is>
      </c>
    </row>
    <row r="28"/>
    <row r="29">
      <c r="B29" s="2" t="inlineStr">
        <is>
          <t>Excel'in yazımı</t>
        </is>
      </c>
    </row>
    <row r="30">
      <c r="B30" s="3" t="inlineStr">
        <is>
          <t>Bu dosyada formüller İngilizce fonksiyon adıyla ve virgüllü yazılmıştır: =ROUND(C13,B27). Türkçe Excel'de fonksiyonun yerel adı fx düğmesiyle görülür; Türkçe yerel ayarda argüman ayracı noktalı virgüldür (;), ondalık ayracı virgüldür. Dosya her dilde ve yerel ayarda aynı çalışır.</t>
        </is>
      </c>
    </row>
    <row r="31">
      <c r="B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00" customWidth="1" min="3" max="3"/>
  </cols>
  <sheetData>
    <row r="1">
      <c r="A1" s="1" t="inlineStr">
        <is>
          <t>Finans temeli (f02): yüzde, yüzde puan ve faiz</t>
        </is>
      </c>
    </row>
    <row r="2">
      <c r="A2" s="7" t="inlineStr">
        <is>
          <t>El kitabı: finans-temeli/f02-yuzde-ve-faiz.md. Bu sayfanın örnekleri derste teorinin 5-25. dakikasında birlikte okunur.</t>
        </is>
      </c>
    </row>
    <row r="3">
      <c r="A3" s="7" t="inlineStr">
        <is>
          <t>Oranlar hücrede kesir olarak saklanır (%40 = 0,40) ve yüzde biçimiyle görünür. Oranlar varsayımsaldır, piyasa verisi değildir.</t>
        </is>
      </c>
    </row>
    <row r="4">
      <c r="A4" s="7" t="inlineStr">
        <is>
          <t>Adımlar: [G] Girdiler, [D] Dönem ve oran eşleme, [H] Hesap, [S] Sağlama, [Y] Yorum. [Y] cümleleri varsayılan girdilere göre yazılmıştır. Mavi hücreler değiştirildiğinde sonuçlar da değişir.</t>
        </is>
      </c>
    </row>
    <row r="5">
      <c r="A5" s="7" t="inlineStr">
        <is>
          <t>[D] satırı 5. ve 6. örnekte ve alıştırma (b)'de yer alır. 1, 2 ve 4. örneklerde yüzde bir değişimi anlatır, dönem çevirmesi gerekmez; 3. örnekte iki oran da yıllıktır (C22).</t>
        </is>
      </c>
    </row>
    <row r="6">
      <c r="A6" s="8" t="inlineStr">
        <is>
          <t>1. Yüzde: bir tutarın yüzde kaçı?</t>
        </is>
      </c>
    </row>
    <row r="7">
      <c r="A7" s="3" t="inlineStr">
        <is>
          <t>[G] Tutar (TL)</t>
        </is>
      </c>
      <c r="B7" s="9" t="n">
        <v>10000</v>
      </c>
    </row>
    <row r="8">
      <c r="A8" s="3" t="inlineStr">
        <is>
          <t>[G] Oran</t>
        </is>
      </c>
      <c r="B8" s="10" t="n">
        <v>0.4</v>
      </c>
      <c r="C8" s="7" t="inlineStr">
        <is>
          <t>Hücrede 0,40 saklanır. %40 ile 0,4 aynı değerdir; yüzde yalnız bir biçimdir (Hesap sayfası, Ek A).</t>
        </is>
      </c>
    </row>
    <row r="9">
      <c r="A9" s="3" t="inlineStr">
        <is>
          <t>[H] Tutar × oran (TL)</t>
        </is>
      </c>
      <c r="B9" s="11">
        <f>B7*B8</f>
        <v/>
      </c>
      <c r="C9" s="7" t="inlineStr">
        <is>
          <t>Formül: =B7*B8. Bir tutarın yüzdesi: tutar × oran.</t>
        </is>
      </c>
    </row>
    <row r="10">
      <c r="A10" s="3" t="inlineStr">
        <is>
          <t>[H] Oran kadar artmış tutar (TL)</t>
        </is>
      </c>
      <c r="B10" s="11">
        <f>B7*(1+B8)</f>
        <v/>
      </c>
      <c r="C10" s="7" t="inlineStr">
        <is>
          <t>Formül: =B7*(1+B8). (1+B8) = 1,40 bir çarpandır: %40 artırmak 1,40 ile çarpmaktır.</t>
        </is>
      </c>
    </row>
    <row r="11">
      <c r="A11" s="3" t="inlineStr">
        <is>
          <t>[S] Tutar + artış - artmış tutar (0 olmalı)</t>
        </is>
      </c>
      <c r="B11" s="12">
        <f>B7+B9-B10</f>
        <v/>
      </c>
      <c r="C11" s="7" t="inlineStr">
        <is>
          <t>Formül: =B7+B9-B10. Çarpanla bulunan sonuç, tutara artışı eklemekle aynı olmalı.</t>
        </is>
      </c>
    </row>
    <row r="12">
      <c r="A12" s="3" t="inlineStr">
        <is>
          <t>[Y] 10.000 TL'nin %40'ı 4.000 TL'dir; %40 artınca 14.000 TL olur.</t>
        </is>
      </c>
    </row>
    <row r="14">
      <c r="A14" s="8" t="inlineStr">
        <is>
          <t>2. Yüzde değişim: yeni / eski - 1</t>
        </is>
      </c>
    </row>
    <row r="15">
      <c r="A15" s="3" t="inlineStr">
        <is>
          <t>[G] Eski değer (TL)</t>
        </is>
      </c>
      <c r="B15" s="9" t="n">
        <v>14000</v>
      </c>
      <c r="C15" s="7" t="inlineStr">
        <is>
          <t>Örnek: bileşik faizde 1. yıl sonu bakiye (Hesap!B9).</t>
        </is>
      </c>
    </row>
    <row r="16">
      <c r="A16" s="3" t="inlineStr">
        <is>
          <t>[G] Yeni değer (TL)</t>
        </is>
      </c>
      <c r="B16" s="9" t="n">
        <v>19600</v>
      </c>
      <c r="C16" s="7" t="inlineStr">
        <is>
          <t>Bileşik faizde 2. yıl sonu bakiye (Hesap!B10).</t>
        </is>
      </c>
    </row>
    <row r="17">
      <c r="A17" s="3" t="inlineStr">
        <is>
          <t>[H] Yüzde değişim</t>
        </is>
      </c>
      <c r="B17" s="13">
        <f>B16/B15-1</f>
        <v/>
      </c>
      <c r="C17" s="7" t="inlineStr">
        <is>
          <t>Formül: =B16/B15-1. Taban her zaman eski değerdir: artış (5.600) eski değere (14.000) bölünür.</t>
        </is>
      </c>
    </row>
    <row r="18">
      <c r="A18" s="3" t="inlineStr">
        <is>
          <t>[S] Eski × (1 + değişim) - yeni (0 olmalı)</t>
        </is>
      </c>
      <c r="B18" s="12">
        <f>B15*(1+B17)-B16</f>
        <v/>
      </c>
      <c r="C18" s="7" t="inlineStr">
        <is>
          <t>Formül: =B15*(1+B17)-B16. Değişim eski değere uygulandığında yeni değer çıkmalıdır.</t>
        </is>
      </c>
    </row>
    <row r="19">
      <c r="A19" s="3" t="inlineStr">
        <is>
          <t>[Y] 14.000'den 19.600'e çıkış %40'tır. Ters yönde, 19.600'den 14.000'e iniş -%28,57'dir: taban değişince yüzde değişir.</t>
        </is>
      </c>
    </row>
    <row r="21">
      <c r="A21" s="8" t="inlineStr">
        <is>
          <t>3. Yüzde puan: iki oranın farkı</t>
        </is>
      </c>
    </row>
    <row r="22">
      <c r="A22" s="3" t="inlineStr">
        <is>
          <t>[G] Eski faiz oranı</t>
        </is>
      </c>
      <c r="B22" s="10" t="n">
        <v>0.4</v>
      </c>
      <c r="C22" s="7" t="inlineStr">
        <is>
          <t>İki oran da yıllık varsayılmıştır. Aylık bir oranla yıllık bir oran bu biçimde karşılaştırılmaz; önce dönemler eşlenir (5. örnek).</t>
        </is>
      </c>
    </row>
    <row r="23">
      <c r="A23" s="3" t="inlineStr">
        <is>
          <t>[G] Yeni faiz oranı</t>
        </is>
      </c>
      <c r="B23" s="10" t="n">
        <v>0.45</v>
      </c>
    </row>
    <row r="24">
      <c r="A24" s="3" t="inlineStr">
        <is>
          <t>Birim çevirme: puan = oran farkı × 100</t>
        </is>
      </c>
      <c r="B24" s="14" t="n">
        <v>100</v>
      </c>
      <c r="C24" s="7" t="inlineStr">
        <is>
          <t>Girdi değil, birim çevirmesi: 0,05'lik oran farkı 5 yüzde puandır. Formüle 100 yazılmasın diye kendi hücresinde; bu yüzden etiketinde [G] yok.</t>
        </is>
      </c>
    </row>
    <row r="25">
      <c r="A25" s="3" t="inlineStr">
        <is>
          <t>[H] Fark (yüzde puan)</t>
        </is>
      </c>
      <c r="B25" s="15">
        <f>(B23-B22)*B24</f>
        <v/>
      </c>
      <c r="C25" s="7" t="inlineStr">
        <is>
          <t>Formül: =(B23-B22)*B24. =B23-B22 yazılıp yüzde biçimi verildiğinde Excel %5 gösterir. Bu bir puan farkıdır ve etikete 'puan' yazılır.</t>
        </is>
      </c>
    </row>
    <row r="26">
      <c r="A26" s="3" t="inlineStr">
        <is>
          <t>[H] Oransal değişim (yüzde değişim)</t>
        </is>
      </c>
      <c r="B26" s="13">
        <f>B23/B22-1</f>
        <v/>
      </c>
      <c r="C26" s="7" t="inlineStr">
        <is>
          <t>Formül: =B23/B22-1. 2. örnekteki yüzde değişim formülü, bu kez iki orana uygulanmıştır.</t>
        </is>
      </c>
    </row>
    <row r="27">
      <c r="A27" s="3" t="inlineStr">
        <is>
          <t>[S] Eski oran × (1 + oransal değişim) - yeni oran (0 olmalı)</t>
        </is>
      </c>
      <c r="B27" s="12">
        <f>B22*(1+B26)-B23</f>
        <v/>
      </c>
      <c r="C27" s="7" t="inlineStr">
        <is>
          <t>Formül: =B22*(1+B26)-B23.</t>
        </is>
      </c>
    </row>
    <row r="28">
      <c r="A28" s="3" t="inlineStr">
        <is>
          <t>[Y] Faiz %40'tan %45'e çıkmıştır: artış 5 puan, oransal olarak %12,5'tir. 'Faiz %5 arttı' cümlesi belirsizdir.</t>
        </is>
      </c>
    </row>
    <row r="30">
      <c r="A30" s="8" t="inlineStr">
        <is>
          <t>4. Art arda değişimler: toplanmaz, çarpılır</t>
        </is>
      </c>
    </row>
    <row r="31">
      <c r="A31" s="3" t="inlineStr">
        <is>
          <t>[G] Başlangıç değeri (TL)</t>
        </is>
      </c>
      <c r="B31" s="9" t="n">
        <v>100</v>
      </c>
    </row>
    <row r="32">
      <c r="A32" s="3" t="inlineStr">
        <is>
          <t>[G] 1. değişim</t>
        </is>
      </c>
      <c r="B32" s="10" t="n">
        <v>0.5</v>
      </c>
    </row>
    <row r="33">
      <c r="A33" s="3" t="inlineStr">
        <is>
          <t>[G] 2. değişim (düşüş eksi yazılır)</t>
        </is>
      </c>
      <c r="B33" s="10" t="n">
        <v>-0.5</v>
      </c>
    </row>
    <row r="34">
      <c r="A34" s="3" t="inlineStr">
        <is>
          <t>[H] Son değer (TL)</t>
        </is>
      </c>
      <c r="B34" s="11">
        <f>B31*(1+B32)*(1+B33)</f>
        <v/>
      </c>
      <c r="C34" s="7" t="inlineStr">
        <is>
          <t>Formül: =B31*(1+B32)*(1+B33). Çarpanlar çarpılır: 100 × 1,5 × 0,5. Düşüş, büyümüş taban (150) üzerinden hesaplanır.</t>
        </is>
      </c>
    </row>
    <row r="35">
      <c r="A35" s="3" t="inlineStr">
        <is>
          <t>[H] Toplam değişim</t>
        </is>
      </c>
      <c r="B35" s="13">
        <f>B34/B31-1</f>
        <v/>
      </c>
      <c r="C35" s="7" t="inlineStr">
        <is>
          <t>Formül: =B34/B31-1. 2. örnekteki yüzde değişim formülü.</t>
        </is>
      </c>
    </row>
    <row r="36">
      <c r="A36" s="3" t="inlineStr">
        <is>
          <t>[H] Yanlış yol: değişimlerin toplanması</t>
        </is>
      </c>
      <c r="B36" s="13">
        <f>B32+B33</f>
        <v/>
      </c>
      <c r="C36" s="7" t="inlineStr">
        <is>
          <t>Formül: =B32+B33. %50 ile -%50'nin toplamı %0 çıkar; oysa değer 100'den 75'e inmiştir.</t>
        </is>
      </c>
    </row>
    <row r="37">
      <c r="A37" s="3" t="inlineStr">
        <is>
          <t>[H] Düşüşü telafi eden artış</t>
        </is>
      </c>
      <c r="B37" s="13">
        <f>1/(1+B33)-1</f>
        <v/>
      </c>
      <c r="C37" s="7" t="inlineStr">
        <is>
          <t>Formül: =1/(1+B33)-1. %50 düşen bir değerin eski yerine dönmesi için %100 artması gerekir.</t>
        </is>
      </c>
    </row>
    <row r="38">
      <c r="A38" s="3" t="inlineStr">
        <is>
          <t>[S] Düşüp telafi edilen değer - başlangıç (0 olmalı)</t>
        </is>
      </c>
      <c r="B38" s="12">
        <f>B31*(1+B33)*(1+B37)-B31</f>
        <v/>
      </c>
      <c r="C38" s="7" t="inlineStr">
        <is>
          <t>Formül: =B31*(1+B33)*(1+B37)-B31. 100 TL %50 düşüp 50 TL olur, %100 artıp 100 TL'ye döner.</t>
        </is>
      </c>
    </row>
    <row r="39">
      <c r="A39" s="3" t="inlineStr">
        <is>
          <t>[Y] 100 TL önce %50 artıp sonra %50 düşerse 75 TL olur, yerine dönmez. %50'lik düşüşü telafi etmek için %100 artış gerekir.</t>
        </is>
      </c>
    </row>
    <row r="41">
      <c r="A41" s="8" t="inlineStr">
        <is>
          <t>5. Faiz ve dönemi: aylık %3 yıllık kaç eder?</t>
        </is>
      </c>
    </row>
    <row r="42">
      <c r="A42" s="3" t="inlineStr">
        <is>
          <t>[G] Aylık faiz oranı</t>
        </is>
      </c>
      <c r="B42" s="10" t="n">
        <v>0.03</v>
      </c>
      <c r="C42" s="7" t="inlineStr">
        <is>
          <t>Faiz, paranın bir dönem kullanılmasının bedelidir. Dönemi yazılmamış bir oran eksik bilgidir.</t>
        </is>
      </c>
    </row>
    <row r="43">
      <c r="A43" s="3" t="inlineStr">
        <is>
          <t>[G] Yıldaki ay sayısı</t>
        </is>
      </c>
      <c r="B43" s="14" t="n">
        <v>12</v>
      </c>
    </row>
    <row r="44">
      <c r="A44" s="3" t="inlineStr">
        <is>
          <t>[D] Oran aylık, soru yıllık: bir yılda 12 aylık dönem vardır (B43).</t>
        </is>
      </c>
    </row>
    <row r="45">
      <c r="A45" s="3" t="inlineStr">
        <is>
          <t>[H] Yıllık nominal oran (aylık × 12)</t>
        </is>
      </c>
      <c r="B45" s="13">
        <f>B42*B43</f>
        <v/>
      </c>
      <c r="C45" s="7" t="inlineStr">
        <is>
          <t>Formül: =B42*B43. Faizin faize işlemesini saymaz.</t>
        </is>
      </c>
    </row>
    <row r="46">
      <c r="A46" s="3" t="inlineStr">
        <is>
          <t>[H] Yıllık etkin oran (faiz faize işleyince)</t>
        </is>
      </c>
      <c r="B46" s="13">
        <f>(1+B42)^B43-1</f>
        <v/>
      </c>
      <c r="C46" s="7" t="inlineStr">
        <is>
          <t>Formül: =(1+B42)^B43-1. Her ayın faizi anaparaya eklenir, ertesi ay o da faiz kazanır. Ileri sayfasındaki 'yıllık bileşik' başka şeydir: faizin yılda bir kez eklenmesi. Adların ayrıntısı ve EFFECT fonksiyonu H3'te (f03).</t>
        </is>
      </c>
    </row>
    <row r="47">
      <c r="A47" s="3" t="inlineStr">
        <is>
          <t>[H] Fark: faizin faizi (yüzde puan)</t>
        </is>
      </c>
      <c r="B47" s="15">
        <f>(B46-B45)*B24</f>
        <v/>
      </c>
      <c r="C47" s="7" t="inlineStr">
        <is>
          <t>Formül: =(B46-B45)*B24. Puana çevirme sayısı 3. örnekteki B24'ten gelir. Bu örneğin tek dış bağı; birim çevirmesi iki kez yazılmasın diye.</t>
        </is>
      </c>
    </row>
    <row r="48">
      <c r="A48" s="8" t="inlineStr">
        <is>
          <t>[S] Sağlama: 100 TL'nin ay ay büyümesi</t>
        </is>
      </c>
    </row>
    <row r="49">
      <c r="A49" s="3" t="inlineStr">
        <is>
          <t>[G] Başlangıç tutarı (TL)</t>
        </is>
      </c>
      <c r="B49" s="9" t="n">
        <v>100</v>
      </c>
      <c r="C49" s="7" t="inlineStr">
        <is>
          <t>Aylık oran B42'den gelir. Tablo 12 ay için kurulmuştur. B43 değiştirildiğinde tablonun da uzatılması gerekir.</t>
        </is>
      </c>
    </row>
    <row r="50">
      <c r="A50" s="16" t="inlineStr">
        <is>
          <t>Ay</t>
        </is>
      </c>
      <c r="B50" s="16" t="inlineStr">
        <is>
          <t>Bakiye (TL)</t>
        </is>
      </c>
    </row>
    <row r="51">
      <c r="A51" s="14" t="n">
        <v>0</v>
      </c>
      <c r="B51" s="11">
        <f>B49</f>
        <v/>
      </c>
      <c r="C51" s="7" t="inlineStr">
        <is>
          <t>0. ay: bakiye başlangıç tutarı (B51: =B49).</t>
        </is>
      </c>
    </row>
    <row r="52">
      <c r="A52" s="17">
        <f>A51+1</f>
        <v/>
      </c>
      <c r="B52" s="11">
        <f>B51*(1+$B$42)</f>
        <v/>
      </c>
      <c r="C52" s="7" t="inlineStr">
        <is>
          <t>B52: =B51*(1+$B$42), aşağı sürüklenmiştir. $ oranı sabitler (mutlak başvuru; Hesap sayfasında ayrıntılı).</t>
        </is>
      </c>
    </row>
    <row r="53">
      <c r="A53" s="17">
        <f>A52+1</f>
        <v/>
      </c>
      <c r="B53" s="11">
        <f>B52*(1+$B$42)</f>
        <v/>
      </c>
      <c r="C53" s="7" t="inlineStr">
        <is>
          <t>Her ay bir önceki ayın bakiyesi 1,03 ile çarpılır. 1. ayın faizi 3,00 TL, 12. ayınki 4,15 TL: faiz, faizi eklenmiş bakiyeye işler.</t>
        </is>
      </c>
    </row>
    <row r="54">
      <c r="A54" s="17">
        <f>A53+1</f>
        <v/>
      </c>
      <c r="B54" s="11">
        <f>B53*(1+$B$42)</f>
        <v/>
      </c>
    </row>
    <row r="55">
      <c r="A55" s="17">
        <f>A54+1</f>
        <v/>
      </c>
      <c r="B55" s="11">
        <f>B54*(1+$B$42)</f>
        <v/>
      </c>
    </row>
    <row r="56">
      <c r="A56" s="17">
        <f>A55+1</f>
        <v/>
      </c>
      <c r="B56" s="11">
        <f>B55*(1+$B$42)</f>
        <v/>
      </c>
    </row>
    <row r="57">
      <c r="A57" s="17">
        <f>A56+1</f>
        <v/>
      </c>
      <c r="B57" s="11">
        <f>B56*(1+$B$42)</f>
        <v/>
      </c>
    </row>
    <row r="58">
      <c r="A58" s="17">
        <f>A57+1</f>
        <v/>
      </c>
      <c r="B58" s="11">
        <f>B57*(1+$B$42)</f>
        <v/>
      </c>
    </row>
    <row r="59">
      <c r="A59" s="17">
        <f>A58+1</f>
        <v/>
      </c>
      <c r="B59" s="11">
        <f>B58*(1+$B$42)</f>
        <v/>
      </c>
    </row>
    <row r="60">
      <c r="A60" s="17">
        <f>A59+1</f>
        <v/>
      </c>
      <c r="B60" s="11">
        <f>B59*(1+$B$42)</f>
        <v/>
      </c>
    </row>
    <row r="61">
      <c r="A61" s="17">
        <f>A60+1</f>
        <v/>
      </c>
      <c r="B61" s="11">
        <f>B60*(1+$B$42)</f>
        <v/>
      </c>
    </row>
    <row r="62">
      <c r="A62" s="17">
        <f>A61+1</f>
        <v/>
      </c>
      <c r="B62" s="11">
        <f>B61*(1+$B$42)</f>
        <v/>
      </c>
    </row>
    <row r="63">
      <c r="A63" s="17">
        <f>A62+1</f>
        <v/>
      </c>
      <c r="B63" s="11">
        <f>B62*(1+$B$42)</f>
        <v/>
      </c>
    </row>
    <row r="64">
      <c r="A64" s="3" t="inlineStr">
        <is>
          <t>12 ay sonunda büyüme</t>
        </is>
      </c>
      <c r="B64" s="13">
        <f>B63/B49-1</f>
        <v/>
      </c>
      <c r="C64" s="7" t="inlineStr">
        <is>
          <t>Formül: =B63/B49-1. 2. örnekteki yüzde değişim: 100 TL, 142,58 TL olmuştur.</t>
        </is>
      </c>
    </row>
    <row r="65">
      <c r="A65" s="3" t="inlineStr">
        <is>
          <t>Fark: büyüme - yıllık etkin oran (0 olmalı)</t>
        </is>
      </c>
      <c r="B65" s="12">
        <f>B64-B46</f>
        <v/>
      </c>
      <c r="C65" s="7" t="inlineStr">
        <is>
          <t>Formül: =B64-B46. Ay ay tablo ile tek hücre formülü aynı sonucu vermelidir.</t>
        </is>
      </c>
    </row>
    <row r="66">
      <c r="A66" s="3" t="inlineStr">
        <is>
          <t>[Y] Aylık %3 yılda nominal olarak %36, faiz faize işleyince (etkin) %42,58 eder. Aradaki 6,58 puan faizin faizidir.</t>
        </is>
      </c>
    </row>
    <row r="68">
      <c r="A68" s="8" t="inlineStr">
        <is>
          <t>6. Basit ve bileşik faiz</t>
        </is>
      </c>
    </row>
    <row r="69">
      <c r="A69" s="3" t="inlineStr">
        <is>
          <t>[G] Anapara (TL)</t>
        </is>
      </c>
      <c r="B69" s="9" t="n">
        <v>10000</v>
      </c>
    </row>
    <row r="70">
      <c r="A70" s="3" t="inlineStr">
        <is>
          <t>[G] Yıllık faiz oranı</t>
        </is>
      </c>
      <c r="B70" s="10" t="n">
        <v>0.4</v>
      </c>
    </row>
    <row r="71">
      <c r="A71" s="3" t="inlineStr">
        <is>
          <t>[G] Süre (yıl)</t>
        </is>
      </c>
      <c r="B71" s="14" t="n">
        <v>3</v>
      </c>
    </row>
    <row r="72">
      <c r="A72" s="3" t="inlineStr">
        <is>
          <t>[D] Oran yıllık, süre yıl: dönemler eşleşir, çevirme gerekmez.</t>
        </is>
      </c>
    </row>
    <row r="73">
      <c r="A73" s="3" t="inlineStr">
        <is>
          <t>[H] Basit faizle süre sonunda (TL)</t>
        </is>
      </c>
      <c r="B73" s="11">
        <f>B69*(1+B70*B71)</f>
        <v/>
      </c>
      <c r="C73" s="7" t="inlineStr">
        <is>
          <t>Formül: =B69*(1+B70*B71). Süre sonundaki tutar = anapara × (1 + r × n): faiz yalnız anaparaya işler.</t>
        </is>
      </c>
    </row>
    <row r="74">
      <c r="A74" s="3" t="inlineStr">
        <is>
          <t>[H] Bileşik faizle süre sonunda (TL)</t>
        </is>
      </c>
      <c r="B74" s="11">
        <f>B69*(1+B70)^B71</f>
        <v/>
      </c>
      <c r="C74" s="7" t="inlineStr">
        <is>
          <t>Formül: =B69*(1+B70)^B71. Süre sonundaki tutar = anapara × (1 + r)^n: her yılın faizi anaparaya eklenir.</t>
        </is>
      </c>
    </row>
    <row r="75">
      <c r="A75" s="3" t="inlineStr">
        <is>
          <t>[H] Fark: faizin faizi (TL)</t>
        </is>
      </c>
      <c r="B75" s="11">
        <f>B74-B73</f>
        <v/>
      </c>
      <c r="C75" s="7" t="inlineStr">
        <is>
          <t>Formül: =B74-B73.</t>
        </is>
      </c>
    </row>
    <row r="76">
      <c r="A76" s="3" t="inlineStr">
        <is>
          <t>[S] Bileşik - Hesap!B11 (0 olmalı)</t>
        </is>
      </c>
      <c r="B76" s="18">
        <f>B74-Hesap!B11</f>
        <v/>
      </c>
      <c r="C76" s="7" t="inlineStr">
        <is>
          <t>Formül: =B74-Hesap!B11 (yeşil: başka sayfaya bağlı). Hesap!B11, Hesap'taki yıl yıl tablonun son satırı. İki sayfanın girdileri ayrıdır: B69:B71 ya da Hesap!B1:B3 değiştirildiğinde fark 0'dan uzaklaşır. Bu durum hata değildir.</t>
        </is>
      </c>
    </row>
    <row r="77">
      <c r="A77" s="3" t="inlineStr">
        <is>
          <t>[Y] 10.000 TL yıllık %40 ile 3 yılda basit faizle 22.000 TL, bileşik faizle 27.440 TL olur. Aradaki 5.440 TL faizin faizidir.</t>
        </is>
      </c>
    </row>
    <row r="79">
      <c r="A79" s="8" t="inlineStr">
        <is>
          <t>Finans alıştırması (ev, notsuz): sarı hücreler öğrenci tarafından doldurulur</t>
        </is>
      </c>
    </row>
    <row r="80">
      <c r="A80" s="7" t="inlineStr">
        <is>
          <t>Formüle sayı yazılmaz; girdiler mavi hücrelerdedir. Yukarıdaki örneklerin formülleri kalıp olarak kullanılır. Ek açıklama: el kitabı f02, bölüm 2.4 ve 2.5.</t>
        </is>
      </c>
    </row>
    <row r="81">
      <c r="A81" s="8" t="inlineStr">
        <is>
          <t>(a) Önce %20 zam, sonra %20 indirim: fiyat başlangıca göre yüzde kaç değişir?</t>
        </is>
      </c>
    </row>
    <row r="82">
      <c r="A82" s="3" t="inlineStr">
        <is>
          <t>[G] Başlangıç fiyatı (TL)</t>
        </is>
      </c>
      <c r="B82" s="9" t="n">
        <v>2500</v>
      </c>
    </row>
    <row r="83">
      <c r="A83" s="3" t="inlineStr">
        <is>
          <t>[G] 1. değişim: zam</t>
        </is>
      </c>
      <c r="B83" s="10" t="n">
        <v>0.2</v>
      </c>
    </row>
    <row r="84">
      <c r="A84" s="3" t="inlineStr">
        <is>
          <t>[G] 2. değişim: indirim (eksi yazılır)</t>
        </is>
      </c>
      <c r="B84" s="10" t="n">
        <v>-0.2</v>
      </c>
    </row>
    <row r="85">
      <c r="A85" s="3" t="inlineStr">
        <is>
          <t>[H] Zamlı fiyat (TL)</t>
        </is>
      </c>
      <c r="B85" s="19" t="n"/>
    </row>
    <row r="86">
      <c r="A86" s="3" t="inlineStr">
        <is>
          <t>[H] İndirimli fiyat (TL)</t>
        </is>
      </c>
      <c r="B86" s="19" t="n"/>
    </row>
    <row r="87">
      <c r="A87" s="3" t="inlineStr">
        <is>
          <t>[H] Başlangıca göre yüzde değişim</t>
        </is>
      </c>
      <c r="B87" s="20" t="n"/>
    </row>
    <row r="88">
      <c r="A88" s="8" t="inlineStr">
        <is>
          <t>(b) Aylık %4 faizin yıllık karşılığı nedir?</t>
        </is>
      </c>
    </row>
    <row r="89">
      <c r="A89" s="3" t="inlineStr">
        <is>
          <t>[G] Aylık faiz oranı</t>
        </is>
      </c>
      <c r="B89" s="10" t="n">
        <v>0.04</v>
      </c>
    </row>
    <row r="90">
      <c r="A90" s="3" t="inlineStr">
        <is>
          <t>[G] Yıldaki ay sayısı</t>
        </is>
      </c>
      <c r="B90" s="14" t="n">
        <v>12</v>
      </c>
    </row>
    <row r="91">
      <c r="A91" s="3" t="inlineStr">
        <is>
          <t>[D] Oran aylık, soru yıllık: bir yılda 12 aylık dönem vardır (B90).</t>
        </is>
      </c>
    </row>
    <row r="92">
      <c r="A92" s="3" t="inlineStr">
        <is>
          <t>[H] Yıllık nominal oran (aylık × 12)</t>
        </is>
      </c>
      <c r="B92" s="20" t="n"/>
    </row>
    <row r="93">
      <c r="A93" s="3" t="inlineStr">
        <is>
          <t>[H] Yıllık etkin oran (faiz faize işleyince)</t>
        </is>
      </c>
      <c r="B93" s="20" t="n"/>
    </row>
    <row r="94">
      <c r="A94" s="8" t="inlineStr">
        <is>
          <t>[S] Sağlama ve [Y] Yorum</t>
        </is>
      </c>
    </row>
    <row r="95">
      <c r="A95" s="7" t="inlineStr">
        <is>
          <t>[S] (a) için ikinci yol: boş bir hücrede iki çarpan çarpılıp 1 çıkarılır; sonuç B87 ile aynı olmalıdır. (b) için 5. örnekteki ay ay tablo ayrı bir sayfada aylık %4 ile kurulur.</t>
        </is>
      </c>
    </row>
    <row r="96">
      <c r="A96" s="2" t="inlineStr">
        <is>
          <t>Yorum:</t>
        </is>
      </c>
      <c r="B96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80" customWidth="1" min="7" max="7"/>
  </cols>
  <sheetData>
    <row r="1">
      <c r="A1" s="1" t="inlineStr">
        <is>
          <t>Faiz: türler ve teknik hesaplar</t>
        </is>
      </c>
    </row>
    <row r="2">
      <c r="A2" s="7" t="inlineStr">
        <is>
          <t>Faiz, paranın bir dönem kullanılmasının bedelidir. Oranın dönemi ve nasıl işlediği (basit, bileşik) yazılmadıkça oran eksik bilgidir (f02, 2.5).</t>
        </is>
      </c>
    </row>
    <row r="3">
      <c r="A3" s="7" t="inlineStr">
        <is>
          <t>Her sayı mavi bir girdi hücresindedir; formüllere sabit yazılmaz. Oranlar kesir olarak saklanır (%40 = 0,40). 1-4, 6 ve 7. bölümlerin oranları varsayımsaldır; 5. bölümdeki politika faizi ve TÜFE resmî kaynaktandır (hücre notları).</t>
        </is>
      </c>
    </row>
    <row r="4">
      <c r="A4" s="7" t="inlineStr">
        <is>
          <t>Fonksiyonlar İngilizce adlarıyla yazılmıştır: EFFECT, NOMINAL, NPER, PV, FV, EXP, LN. Excel'in yazımı için Oku sayfasına bakılır.</t>
        </is>
      </c>
    </row>
    <row r="6">
      <c r="A6" s="8" t="inlineStr">
        <is>
          <t>Faiz türleri: hangi soru, hangi formül, bu sayfada nerede?</t>
        </is>
      </c>
    </row>
    <row r="7">
      <c r="A7" s="2" t="inlineStr">
        <is>
          <t>Basit faiz</t>
        </is>
      </c>
      <c r="B7" s="3" t="inlineStr">
        <is>
          <t>Faiz yalnız anaparaya işler. FV = PV × (1 + r × n). Bölüm 2, B38.</t>
        </is>
      </c>
    </row>
    <row r="8">
      <c r="A8" s="2" t="inlineStr">
        <is>
          <t>Bileşik faiz</t>
        </is>
      </c>
      <c r="B8" s="3" t="inlineStr">
        <is>
          <t>Her dönemin faizi anaparaya eklenir, sonraki dönem o da faiz kazanır. FV = PV × (1 + r)^n. Bölüm 2, B39 ve B40.</t>
        </is>
      </c>
    </row>
    <row r="9">
      <c r="A9" s="2" t="inlineStr">
        <is>
          <t>Sürekli bileşik faiz</t>
        </is>
      </c>
      <c r="B9" s="3" t="inlineStr">
        <is>
          <t>Faizin her an eklendiği varsayılır; bileşiklenme sıklığının sınırıdır. FV = PV × e^(r × n), Excel'de EXP. Bölüm 2 ve 3.</t>
        </is>
      </c>
    </row>
    <row r="10">
      <c r="A10" s="2" t="inlineStr">
        <is>
          <t>Yıllık nominal oran</t>
        </is>
      </c>
      <c r="B10" s="3" t="inlineStr">
        <is>
          <t>Dönem oranı × yılda dönem sayısı. İlanlarda ve sözleşmelerde yazan oran. Bölüm 4, B64.</t>
        </is>
      </c>
    </row>
    <row r="11">
      <c r="A11" s="2" t="inlineStr">
        <is>
          <t>Yıllık etkin oran</t>
        </is>
      </c>
      <c r="B11" s="3" t="inlineStr">
        <is>
          <t>(1 + r / m)^m - 1: paranın bir yılda gerçekte ne kadar büyüdüğü. Excel'de EFFECT. Bölüm 3 ve 4.</t>
        </is>
      </c>
    </row>
    <row r="12">
      <c r="A12" s="2" t="inlineStr">
        <is>
          <t>Reel faiz</t>
        </is>
      </c>
      <c r="B12" s="3" t="inlineStr">
        <is>
          <t>Enflasyondan arındırılmış faiz: (1 + nominal) / (1 + enflasyon) - 1 (Fisher). Bölüm 5, B77.</t>
        </is>
      </c>
    </row>
    <row r="13">
      <c r="A13" s="2" t="inlineStr">
        <is>
          <t>İkiye katlanma süresi</t>
        </is>
      </c>
      <c r="B13" s="3" t="inlineStr">
        <is>
          <t>(1 + r)^T = 2 denkleminin çözümü: T = LN(2) / LN(1 + r). Excel'de NPER. Bölüm 6.</t>
        </is>
      </c>
    </row>
    <row r="14">
      <c r="A14" s="2" t="inlineStr">
        <is>
          <t>İskonto, bugünkü değer</t>
        </is>
      </c>
      <c r="B14" s="3" t="inlineStr">
        <is>
          <t>Bileşik faizin tersi: PV = FV / (1 + r)^n. Excel'de PV. Bölüm 7.</t>
        </is>
      </c>
    </row>
    <row r="16">
      <c r="A16" s="8" t="inlineStr">
        <is>
          <t>1. Isınma: iki finansal okuryazarlık sorusu</t>
        </is>
      </c>
    </row>
    <row r="17">
      <c r="A17" s="7" t="inlineStr">
        <is>
          <t>Lusardi ve Mitchell'in finansal okuryazarlık sorularından ('Big Three') ikisinin uyarlaması. Kaynak: GFLEC, https://gflec.org/wp-content/uploads/2015/04/3-Questions-Article2.pdf. Önce cevap tahmin edilir, sonra hesaba bakılır.</t>
        </is>
      </c>
    </row>
    <row r="18">
      <c r="A18" s="3" t="inlineStr">
        <is>
          <t>Soru 1: Bir hesapta 100 TL bulunmakta, faiz yıllık %2'dir. Para 5 yıl hiç çekilmezse hesapta 102 TL'den fazla mı, tam 102 TL mi, az mı olur?</t>
        </is>
      </c>
    </row>
    <row r="19">
      <c r="A19" s="3" t="inlineStr">
        <is>
          <t>[G] Başlangıç tutarı (TL)</t>
        </is>
      </c>
      <c r="B19" s="9" t="n">
        <v>100</v>
      </c>
    </row>
    <row r="20">
      <c r="A20" s="3" t="inlineStr">
        <is>
          <t>[G] Yıllık faiz oranı</t>
        </is>
      </c>
      <c r="B20" s="10" t="n">
        <v>0.02</v>
      </c>
    </row>
    <row r="21">
      <c r="A21" s="3" t="inlineStr">
        <is>
          <t>[G] Süre (yıl)</t>
        </is>
      </c>
      <c r="B21" s="14" t="n">
        <v>5</v>
      </c>
    </row>
    <row r="22">
      <c r="A22" s="3" t="inlineStr">
        <is>
          <t>[H] 5 yıl sonunda (TL)</t>
        </is>
      </c>
      <c r="B22" s="11">
        <f>B19*(1+B20)^B21</f>
        <v/>
      </c>
      <c r="C22" s="7" t="inlineStr">
        <is>
          <t>Formül: =B19*(1+B20)^B21.</t>
        </is>
      </c>
    </row>
    <row r="23">
      <c r="A23" s="3" t="inlineStr">
        <is>
          <t>[Y] Cevap: 102 TL'den fazla (110,41 TL). 102 TL, faizin yalnız 1 yıl işlediği durumdur.</t>
        </is>
      </c>
    </row>
    <row r="24">
      <c r="A24" s="3" t="inlineStr">
        <is>
          <t>Soru 2: Hesabın faizi yıllık %1, enflasyon yıllık %2'dir. Bir yıl sonra bu parayla bugünkünden fazla mı, aynı mı, az mı şey alınabilir?</t>
        </is>
      </c>
    </row>
    <row r="25">
      <c r="A25" s="3" t="inlineStr">
        <is>
          <t>[G] Yıllık faiz oranı</t>
        </is>
      </c>
      <c r="B25" s="10" t="n">
        <v>0.01</v>
      </c>
    </row>
    <row r="26">
      <c r="A26" s="3" t="inlineStr">
        <is>
          <t>[G] Yıllık enflasyon</t>
        </is>
      </c>
      <c r="B26" s="10" t="n">
        <v>0.02</v>
      </c>
    </row>
    <row r="27">
      <c r="A27" s="3" t="inlineStr">
        <is>
          <t>[H] Satın alma gücündeki değişim (reel faiz)</t>
        </is>
      </c>
      <c r="B27" s="13">
        <f>(1+B25)/(1+B26)-1</f>
        <v/>
      </c>
      <c r="C27" s="7" t="inlineStr">
        <is>
          <t>Formül: =(1+B25)/(1+B26)-1. Para 1,01 katına, fiyatlar 1,02 katına çıkar.</t>
        </is>
      </c>
    </row>
    <row r="28">
      <c r="A28" s="3" t="inlineStr">
        <is>
          <t>[Y] Cevap: daha az. Satın alma gücü %0,98 azalır. Bu, 5. bölümdeki reel faiz hesabının kendisidir.</t>
        </is>
      </c>
    </row>
    <row r="30">
      <c r="A30" s="8" t="inlineStr">
        <is>
          <t>[G] Ortak girdiler: 2, 3, 6 ve 7. bölümler bunları kullanır</t>
        </is>
      </c>
    </row>
    <row r="31">
      <c r="A31" s="3" t="inlineStr">
        <is>
          <t>[G] Anapara (TL)</t>
        </is>
      </c>
      <c r="B31" s="9" t="n">
        <v>100000</v>
      </c>
    </row>
    <row r="32">
      <c r="A32" s="3" t="inlineStr">
        <is>
          <t>[G] Yıllık nominal faiz oranı</t>
        </is>
      </c>
      <c r="B32" s="10" t="n">
        <v>0.4</v>
      </c>
    </row>
    <row r="33">
      <c r="A33" s="3" t="inlineStr">
        <is>
          <t>[G] Süre (yıl)</t>
        </is>
      </c>
      <c r="B33" s="14" t="n">
        <v>3</v>
      </c>
    </row>
    <row r="34">
      <c r="A34" s="3" t="inlineStr">
        <is>
          <t>Birim çevirme: yüzde sayısı ya da yüzde puan = oran × 100</t>
        </is>
      </c>
      <c r="B34" s="14" t="n">
        <v>100</v>
      </c>
      <c r="C34" s="7" t="inlineStr">
        <is>
          <t>Girdi değil, birim çevirmesi (Finans!B24 ile aynı mantık). Bu yüzden etiketinde [G] yok.</t>
        </is>
      </c>
    </row>
    <row r="36">
      <c r="A36" s="8" t="inlineStr">
        <is>
          <t>2. Basit, bileşik ve sürekli bileşik faiz</t>
        </is>
      </c>
    </row>
    <row r="37">
      <c r="A37" s="3" t="inlineStr">
        <is>
          <t>[D] Oran yıllık (B32), süre yıl (B33): dönemler eşleşir, çevirme gerekmez.</t>
        </is>
      </c>
    </row>
    <row r="38">
      <c r="A38" s="3" t="inlineStr">
        <is>
          <t>[H] Basit faiz, süre sonunda (TL)</t>
        </is>
      </c>
      <c r="B38" s="11">
        <f>B31*(1+B32*B33)</f>
        <v/>
      </c>
      <c r="C38" s="7" t="inlineStr">
        <is>
          <t>Formül: =B31*(1+B32*B33). Faiz her yıl yalnız anaparaya işler.</t>
        </is>
      </c>
    </row>
    <row r="39">
      <c r="A39" s="3" t="inlineStr">
        <is>
          <t>[H] Yıllık bileşik, süre sonunda (TL)</t>
        </is>
      </c>
      <c r="B39" s="11">
        <f>B31*(1+B32)^B33</f>
        <v/>
      </c>
      <c r="C39" s="7" t="inlineStr">
        <is>
          <t>Formül: =B31*(1+B32)^B33. Her yılın faizi anaparaya eklenir.</t>
        </is>
      </c>
    </row>
    <row r="40">
      <c r="A40" s="3" t="inlineStr">
        <is>
          <t>[H] Yıllık bileşik, FV fonksiyonuyla (TL)</t>
        </is>
      </c>
      <c r="B40" s="11">
        <f>FV(B32,B33,0,-B31)</f>
        <v/>
      </c>
      <c r="C40" s="7" t="inlineStr">
        <is>
          <t>Formül: =FV(B32,B33,0,-B31). Ara ödeme yok (0); yatırılan para yatırımcının cebinden çıktığı için eksi yazılır, FV artı döner. Ayrıntısı H3'te.</t>
        </is>
      </c>
    </row>
    <row r="41">
      <c r="A41" s="3" t="inlineStr">
        <is>
          <t>[H] Sürekli bileşik, süre sonunda (TL)</t>
        </is>
      </c>
      <c r="B41" s="11">
        <f>B31*EXP(B32*B33)</f>
        <v/>
      </c>
      <c r="C41" s="7" t="inlineStr">
        <is>
          <t>Formül: =B31*EXP(B32*B33). EXP(x) = e^x, e = 2,71828... EXP bir fonksiyondur, Excel'deki ^ işleciyle karıştırılmaz.</t>
        </is>
      </c>
    </row>
    <row r="42">
      <c r="A42" s="3" t="inlineStr">
        <is>
          <t>[H] Faizin faizi: yıllık bileşik - basit (TL)</t>
        </is>
      </c>
      <c r="B42" s="11">
        <f>B39-B38</f>
        <v/>
      </c>
    </row>
    <row r="43">
      <c r="A43" s="3" t="inlineStr">
        <is>
          <t>[H] Sürekli bileşik - yıllık bileşik (TL)</t>
        </is>
      </c>
      <c r="B43" s="11">
        <f>B41-B39</f>
        <v/>
      </c>
    </row>
    <row r="44">
      <c r="A44" s="3" t="inlineStr">
        <is>
          <t>[S] Yıllık bileşik: formül - FV (0 olmalı)</t>
        </is>
      </c>
      <c r="B44" s="12">
        <f>B39-B40</f>
        <v/>
      </c>
      <c r="C44" s="7" t="inlineStr">
        <is>
          <t>Formül: =B39-B40. Elle kurulan formül ile Excel fonksiyonu aynı sonucu vermelidir.</t>
        </is>
      </c>
    </row>
    <row r="45">
      <c r="A45" s="3" t="inlineStr">
        <is>
          <t>[Y] Aynı 'yıllık %40', 3 yılda basit faizle 220.000 TL, yıllık bileşikle 274.400 TL, sürekli bileşikle 332.011,69 TL eder.</t>
        </is>
      </c>
    </row>
    <row r="47">
      <c r="A47" s="8" t="inlineStr">
        <is>
          <t>3. Bileşiklenme sıklığı: yıllık nominal %40, yılda m kez eklenirse</t>
        </is>
      </c>
    </row>
    <row r="48">
      <c r="A48" s="7" t="inlineStr">
        <is>
          <t>Dönem oranı = yıllık nominal / m. Yıllık etkin = (1 + r / m)^m - 1. m büyüdükçe etkin oran artar ama sınırsız artmaz; sınırı sürekli bileşiktir: e^r - 1.</t>
        </is>
      </c>
    </row>
    <row r="49">
      <c r="A49" s="16" t="inlineStr">
        <is>
          <t>Bileşiklenme</t>
        </is>
      </c>
      <c r="B49" s="16" t="inlineStr">
        <is>
          <t>Yılda dönem (m)</t>
        </is>
      </c>
      <c r="C49" s="16" t="inlineStr">
        <is>
          <t>Dönem oranı (r / m)</t>
        </is>
      </c>
      <c r="D49" s="16" t="inlineStr">
        <is>
          <t>Yıllık etkin: formül</t>
        </is>
      </c>
      <c r="E49" s="16" t="inlineStr">
        <is>
          <t>Yıllık etkin: EFFECT</t>
        </is>
      </c>
      <c r="F49" s="16" t="inlineStr">
        <is>
          <t>1 yıl sonunda (TL)</t>
        </is>
      </c>
    </row>
    <row r="50">
      <c r="A50" s="3" t="inlineStr">
        <is>
          <t>Yıllık</t>
        </is>
      </c>
      <c r="B50" s="14" t="n">
        <v>1</v>
      </c>
      <c r="C50" s="22">
        <f>$B$32/B50</f>
        <v/>
      </c>
      <c r="D50" s="22">
        <f>(1+C50)^B50-1</f>
        <v/>
      </c>
      <c r="E50" s="22">
        <f>EFFECT($B$32,B50)</f>
        <v/>
      </c>
      <c r="F50" s="11">
        <f>$B$31*(1+D50)</f>
        <v/>
      </c>
      <c r="G50" s="7" t="inlineStr">
        <is>
          <t>C50: =$B$32/B50. D50: =(1+C50)^B50-1. Formüller aşağı sürüklenmiştir; $ oranı sabitler.</t>
        </is>
      </c>
    </row>
    <row r="51">
      <c r="A51" s="3" t="inlineStr">
        <is>
          <t>Altı aylık</t>
        </is>
      </c>
      <c r="B51" s="14" t="n">
        <v>2</v>
      </c>
      <c r="C51" s="22">
        <f>$B$32/B51</f>
        <v/>
      </c>
      <c r="D51" s="22">
        <f>(1+C51)^B51-1</f>
        <v/>
      </c>
      <c r="E51" s="22">
        <f>EFFECT($B$32,B51)</f>
        <v/>
      </c>
      <c r="F51" s="11">
        <f>$B$31*(1+D51)</f>
        <v/>
      </c>
      <c r="G51" s="7" t="inlineStr">
        <is>
          <t>E50: =EFFECT($B$32,B50). EFFECT nominal oranı ve m'yi ister; m'yi tam sayıya keser.</t>
        </is>
      </c>
    </row>
    <row r="52">
      <c r="A52" s="3" t="inlineStr">
        <is>
          <t>Üç aylık</t>
        </is>
      </c>
      <c r="B52" s="14" t="n">
        <v>4</v>
      </c>
      <c r="C52" s="22">
        <f>$B$32/B52</f>
        <v/>
      </c>
      <c r="D52" s="22">
        <f>(1+C52)^B52-1</f>
        <v/>
      </c>
      <c r="E52" s="22">
        <f>EFFECT($B$32,B52)</f>
        <v/>
      </c>
      <c r="F52" s="11">
        <f>$B$31*(1+D52)</f>
        <v/>
      </c>
      <c r="G52" s="7" t="inlineStr">
        <is>
          <t>F50: =$B$31*(1+D50). Etkin oran, 1 yılın sonundaki tutarı tek adımda verir.</t>
        </is>
      </c>
    </row>
    <row r="53">
      <c r="A53" s="3" t="inlineStr">
        <is>
          <t>Aylık</t>
        </is>
      </c>
      <c r="B53" s="14" t="n">
        <v>12</v>
      </c>
      <c r="C53" s="22">
        <f>$B$32/B53</f>
        <v/>
      </c>
      <c r="D53" s="22">
        <f>(1+C53)^B53-1</f>
        <v/>
      </c>
      <c r="E53" s="22">
        <f>EFFECT($B$32,B53)</f>
        <v/>
      </c>
      <c r="F53" s="11">
        <f>$B$31*(1+D53)</f>
        <v/>
      </c>
    </row>
    <row r="54">
      <c r="A54" s="3" t="inlineStr">
        <is>
          <t>Sürekli (sınır)</t>
        </is>
      </c>
      <c r="D54" s="22">
        <f>EXP($B$32)-1</f>
        <v/>
      </c>
      <c r="F54" s="11">
        <f>$B$31*EXP($B$32)</f>
        <v/>
      </c>
      <c r="G54" s="7" t="inlineStr">
        <is>
          <t>D54: =EXP($B$32)-1. m büyüdükçe (1 + r / m)^m, e^r'ye yaklaşır.</t>
        </is>
      </c>
    </row>
    <row r="55">
      <c r="A55" s="3" t="inlineStr">
        <is>
          <t>[S] Aylık satır: formül - EFFECT (0 olmalı)</t>
        </is>
      </c>
      <c r="B55" s="12">
        <f>D53-E53</f>
        <v/>
      </c>
    </row>
    <row r="56">
      <c r="A56" s="3" t="inlineStr">
        <is>
          <t>[S] Yıllık satır: 1 yıl sonunda - anapara × (1 + oran) (0 olmalı)</t>
        </is>
      </c>
      <c r="B56" s="12">
        <f>F50-B31*(1+B32)</f>
        <v/>
      </c>
    </row>
    <row r="57">
      <c r="A57" s="3" t="inlineStr">
        <is>
          <t>[H] Sürekli - aylık etkin oran (yüzde puan)</t>
        </is>
      </c>
      <c r="B57" s="15">
        <f>(D54-D53)*B34</f>
        <v/>
      </c>
      <c r="C57" s="7" t="inlineStr">
        <is>
          <t>Formül: =(D54-D53)*B34. Aylıktan sonra sıklığı artırmak 1 puandan az ekler.</t>
        </is>
      </c>
    </row>
    <row r="58">
      <c r="A58" s="3" t="inlineStr">
        <is>
          <t>[Y] Yıllık %40, aylık eklenince etkin %48,21; sürekli eklenince %49,18 eder. Haftalık ve günlük satırlar G1'de kurulur.</t>
        </is>
      </c>
    </row>
    <row r="60">
      <c r="A60" s="8" t="inlineStr">
        <is>
          <t>4. Nominal ve etkin: aylık %3 yıllık kaç eder? (EFFECT ve NOMINAL)</t>
        </is>
      </c>
    </row>
    <row r="61">
      <c r="A61" s="3" t="inlineStr">
        <is>
          <t>[G] Aylık faiz oranı</t>
        </is>
      </c>
      <c r="B61" s="10" t="n">
        <v>0.03</v>
      </c>
    </row>
    <row r="62">
      <c r="A62" s="3" t="inlineStr">
        <is>
          <t>[G] Yılda dönem sayısı</t>
        </is>
      </c>
      <c r="B62" s="14" t="n">
        <v>12</v>
      </c>
    </row>
    <row r="63">
      <c r="A63" s="3" t="inlineStr">
        <is>
          <t>[D] Oran aylık, soru yıllık: bir yılda 12 aylık dönem vardır (B62).</t>
        </is>
      </c>
    </row>
    <row r="64">
      <c r="A64" s="3" t="inlineStr">
        <is>
          <t>[H] Yıllık nominal (aylık × 12)</t>
        </is>
      </c>
      <c r="B64" s="22">
        <f>B61*B62</f>
        <v/>
      </c>
      <c r="C64" s="7" t="inlineStr">
        <is>
          <t>Formül: =B61*B62. Faizin faize işlemesini saymaz.</t>
        </is>
      </c>
    </row>
    <row r="65">
      <c r="A65" s="3" t="inlineStr">
        <is>
          <t>[H] Yıllık etkin, formülle</t>
        </is>
      </c>
      <c r="B65" s="22">
        <f>(1+B61)^B62-1</f>
        <v/>
      </c>
      <c r="C65" s="7" t="inlineStr">
        <is>
          <t>Formül: =(1+B61)^B62-1 (Finans!B46 ile aynı kalıp).</t>
        </is>
      </c>
    </row>
    <row r="66">
      <c r="A66" s="3" t="inlineStr">
        <is>
          <t>[H] Yıllık etkin, EFFECT ile</t>
        </is>
      </c>
      <c r="B66" s="22">
        <f>EFFECT(B64,B62)</f>
        <v/>
      </c>
      <c r="C66" s="7" t="inlineStr">
        <is>
          <t>Formül: =EFFECT(B64,B62). EFFECT aylık oranı değil, yıllık nominali ister.</t>
        </is>
      </c>
    </row>
    <row r="67">
      <c r="A67" s="3" t="inlineStr">
        <is>
          <t>[H] Etkinden geri nominal, NOMINAL ile</t>
        </is>
      </c>
      <c r="B67" s="22">
        <f>NOMINAL(B65,B62)</f>
        <v/>
      </c>
      <c r="C67" s="7" t="inlineStr">
        <is>
          <t>Formül: =NOMINAL(B65,B62). EFFECT'in tersi.</t>
        </is>
      </c>
    </row>
    <row r="68">
      <c r="A68" s="3" t="inlineStr">
        <is>
          <t>[H] Fark: faizin faizi (yüzde puan)</t>
        </is>
      </c>
      <c r="B68" s="15">
        <f>(B65-B64)*B34</f>
        <v/>
      </c>
    </row>
    <row r="69">
      <c r="A69" s="3" t="inlineStr">
        <is>
          <t>[S] EFFECT - formül (0 olmalı)</t>
        </is>
      </c>
      <c r="B69" s="12">
        <f>B66-B65</f>
        <v/>
      </c>
    </row>
    <row r="70">
      <c r="A70" s="3" t="inlineStr">
        <is>
          <t>[S] NOMINAL - nominal (0 olmalı)</t>
        </is>
      </c>
      <c r="B70" s="12">
        <f>B67-B64</f>
        <v/>
      </c>
    </row>
    <row r="71">
      <c r="A71" s="3" t="inlineStr">
        <is>
          <t>[Y] Aylık %3: yıllık nominal %36, yıllık etkin %42,58; aradaki 6,58 puan faizin faizidir. EFFECT ve NOMINAL birbirinin tersidir.</t>
        </is>
      </c>
    </row>
    <row r="73">
      <c r="A73" s="8" t="inlineStr">
        <is>
          <t>5. Reel faiz: enflasyondan arındırılmış faiz (Fisher)</t>
        </is>
      </c>
    </row>
    <row r="74">
      <c r="A74" s="3" t="inlineStr">
        <is>
          <t>[G] Politika faizi (yıllık)</t>
        </is>
      </c>
      <c r="B74" s="10" t="n">
        <v>0.37</v>
      </c>
      <c r="C74" s="7" t="inlineStr">
        <is>
          <t>Kaynak: TCMB PPK, 10.09.2026 (bağlantı hücre notunda). Politika faizi 22.01.2026'da %38'den %37'ye indirilmiş, sonra %37'de kalmıştır.</t>
        </is>
      </c>
    </row>
    <row r="75">
      <c r="A75" s="3" t="inlineStr">
        <is>
          <t>[G] Yıllık TÜFE, Eylül 2026</t>
        </is>
      </c>
      <c r="B75" s="10" t="n">
        <v>0.2973</v>
      </c>
      <c r="C75" s="7" t="inlineStr">
        <is>
          <t>Kaynak: TÜİK verisi, TCMB Tüketici Fiyatları tablosu, erişim 06.10.2026 (bağlantı hücre notunda).</t>
        </is>
      </c>
    </row>
    <row r="76">
      <c r="A76" s="3" t="inlineStr">
        <is>
          <t>[G] Yıllık TÜFE, Ağustos 2026</t>
        </is>
      </c>
      <c r="B76" s="10" t="n">
        <v>0.3151</v>
      </c>
    </row>
    <row r="77">
      <c r="A77" s="3" t="inlineStr">
        <is>
          <t>[H] Reel faiz, Fisher (Eylül TÜFE'si ile)</t>
        </is>
      </c>
      <c r="B77" s="13">
        <f>(1+B74)/(1+B75)-1</f>
        <v/>
      </c>
      <c r="C77" s="7" t="inlineStr">
        <is>
          <t>Formül: =(1+B74)/(1+B75)-1. (1 + nominal) = (1 + reel) × (1 + enflasyon) eşitliğinden.</t>
        </is>
      </c>
    </row>
    <row r="78">
      <c r="A78" s="3" t="inlineStr">
        <is>
          <t>[H] Kısa yol: nominal - enflasyon (yüzde puan)</t>
        </is>
      </c>
      <c r="B78" s="15">
        <f>(B74-B75)*B34</f>
        <v/>
      </c>
      <c r="C78" s="7" t="inlineStr">
        <is>
          <t>Formül: =(B74-B75)*B34. Düşük oranlarda Fisher'e yakın; yüksek oranlarda yanıltır.</t>
        </is>
      </c>
    </row>
    <row r="79">
      <c r="A79" s="3" t="inlineStr">
        <is>
          <t>[H] Kısa yolun fazlası (yüzde puan)</t>
        </is>
      </c>
      <c r="B79" s="15">
        <f>B78-B77*B34</f>
        <v/>
      </c>
      <c r="C79" s="7" t="inlineStr">
        <is>
          <t>Formül: =B78-B77*B34. Reel faiz puana çevrilip kısa yoldan çıkarılmıştır.</t>
        </is>
      </c>
    </row>
    <row r="80">
      <c r="A80" s="3" t="inlineStr">
        <is>
          <t>[H] Reel faiz, Fisher (Ağustos TÜFE'si ile)</t>
        </is>
      </c>
      <c r="B80" s="13">
        <f>(1+B74)/(1+B76)-1</f>
        <v/>
      </c>
    </row>
    <row r="81">
      <c r="A81" s="3" t="inlineStr">
        <is>
          <t>[S] (1 + reel) × (1 + enflasyon) - (1 + nominal) (0 olmalı)</t>
        </is>
      </c>
      <c r="B81" s="12">
        <f>(1+B77)*(1+B75)-(1+B74)</f>
        <v/>
      </c>
    </row>
    <row r="82">
      <c r="A82" s="3" t="inlineStr">
        <is>
          <t>[Y] Politika faizi %37, Eylül'de yıllık TÜFE %29,73: reel faiz %5,60. Kısa yol 7,27 puan verir, yani 1,67 puan fazladır. Ağustos TÜFE'si (%31,51) ile reel faiz %4,17'dir: faiz aynı kalmış, enflasyon düşmüştür.</t>
        </is>
      </c>
    </row>
    <row r="83">
      <c r="A83" s="7" t="inlineStr">
        <is>
          <t>Bu ölçü geriye dönüktür: geçmiş 12 ayın enflasyonu. İleriye dönük reel faiz için beklenen enflasyon gerekir (H4, f04). Politika faizi, mevduat ya da kredi faizi değildir.</t>
        </is>
      </c>
    </row>
    <row r="85">
      <c r="A85" s="8" t="inlineStr">
        <is>
          <t>6. İkiye katlanma süresi: NPER, LN ve 72 kuralı</t>
        </is>
      </c>
    </row>
    <row r="86">
      <c r="A86" s="3" t="inlineStr">
        <is>
          <t>[G] Hedef çarpan (ikiye katlanma)</t>
        </is>
      </c>
      <c r="B86" s="14" t="n">
        <v>2</v>
      </c>
    </row>
    <row r="87">
      <c r="A87" s="3" t="inlineStr">
        <is>
          <t>[G] 72 kuralının sayısı</t>
        </is>
      </c>
      <c r="B87" s="14" t="n">
        <v>72</v>
      </c>
    </row>
    <row r="88">
      <c r="A88" s="3" t="inlineStr">
        <is>
          <t>[D] Oran yıllık (B32): süre yıl olarak çıkar.</t>
        </is>
      </c>
    </row>
    <row r="89">
      <c r="A89" s="3" t="inlineStr">
        <is>
          <t>[H] Tam süre, NPER ile (yıl)</t>
        </is>
      </c>
      <c r="B89" s="23">
        <f>NPER(B32,0,-1,B86)</f>
        <v/>
      </c>
      <c r="C89" s="7" t="inlineStr">
        <is>
          <t>Formül: =NPER(B32,0,-1,B86). Bugün yatırılan 1 TL (eksi), ara ödeme yok (0): B86 TL'ye kaç yılda ulaşılır?</t>
        </is>
      </c>
    </row>
    <row r="90">
      <c r="A90" s="3" t="inlineStr">
        <is>
          <t>[H] Tam süre, LN ile (yıl)</t>
        </is>
      </c>
      <c r="B90" s="23">
        <f>LN(B86)/LN(1+B32)</f>
        <v/>
      </c>
      <c r="C90" s="7" t="inlineStr">
        <is>
          <t>Formül: =LN(B86)/LN(1+B32). (1 + r)^T = 2 denkleminin iki yanının doğal logaritması alınır: T × LN(1 + r) = LN(2).</t>
        </is>
      </c>
    </row>
    <row r="91">
      <c r="A91" s="3" t="inlineStr">
        <is>
          <t>[H] 72 kuralı (yıl)</t>
        </is>
      </c>
      <c r="B91" s="23">
        <f>B87/(B32*B34)</f>
        <v/>
      </c>
      <c r="C91" s="7" t="inlineStr">
        <is>
          <t>Formül: =B87/(B32*B34). Kural oranı yüzde sayısı olarak ister: 72 / 40.</t>
        </is>
      </c>
    </row>
    <row r="92">
      <c r="A92" s="3" t="inlineStr">
        <is>
          <t>[H] 72 kuralının hatası (yıl)</t>
        </is>
      </c>
      <c r="B92" s="23">
        <f>B91-B90</f>
        <v/>
      </c>
    </row>
    <row r="93">
      <c r="A93" s="3" t="inlineStr">
        <is>
          <t>[S] NPER - LN (0 olmalı)</t>
        </is>
      </c>
      <c r="B93" s="12">
        <f>B89-B90</f>
        <v/>
      </c>
    </row>
    <row r="94">
      <c r="A94" s="3" t="inlineStr">
        <is>
          <t>[S] (1 + r)^T - hedef çarpan (0 olmalı)</t>
        </is>
      </c>
      <c r="B94" s="12">
        <f>(1+B32)^B90-B86</f>
        <v/>
      </c>
    </row>
    <row r="95">
      <c r="A95" s="3" t="inlineStr">
        <is>
          <t>[Y] Yıllık %40'ta para 2,06 yılda ikiye katlanır; 72 kuralı 1,80 yıl verir. Kuralın hangi oranda isabetli olduğu G3'te Python ile kurulan tabloda incelenir.</t>
        </is>
      </c>
    </row>
    <row r="97">
      <c r="A97" s="8" t="inlineStr">
        <is>
          <t>7. İskonto: gelecekteki paranın bugünkü değeri (PV)</t>
        </is>
      </c>
    </row>
    <row r="98">
      <c r="A98" s="3" t="inlineStr">
        <is>
          <t>[G] Gelecekte alınacak tutar (TL)</t>
        </is>
      </c>
      <c r="B98" s="9" t="n">
        <v>100000</v>
      </c>
    </row>
    <row r="99">
      <c r="A99" s="3" t="inlineStr">
        <is>
          <t>[G] Kaç yıl sonra</t>
        </is>
      </c>
      <c r="B99" s="14" t="n">
        <v>1</v>
      </c>
    </row>
    <row r="100">
      <c r="A100" s="3" t="inlineStr">
        <is>
          <t>[D] Oran yıllık (B32), süre yıl (B99): dönemler eşleşir.</t>
        </is>
      </c>
    </row>
    <row r="101">
      <c r="A101" s="3" t="inlineStr">
        <is>
          <t>[H] Bugünkü değer, formülle (TL)</t>
        </is>
      </c>
      <c r="B101" s="11">
        <f>B98/(1+B32)^B99</f>
        <v/>
      </c>
      <c r="C101" s="7" t="inlineStr">
        <is>
          <t>Formül: =B98/(1+B32)^B99. Bileşik faiz formülü tersten: gelecekteki tutar (1 + r)^n'ye bölünür.</t>
        </is>
      </c>
    </row>
    <row r="102">
      <c r="A102" s="3" t="inlineStr">
        <is>
          <t>[H] Bugünkü değer, PV ile (TL)</t>
        </is>
      </c>
      <c r="B102" s="11">
        <f>PV(B32,B99,0,-B98)</f>
        <v/>
      </c>
      <c r="C102" s="7" t="inlineStr">
        <is>
          <t>Formül: =PV(B32,B99,0,-B98). Gelecek tutar eksi girilince PV artı döner.</t>
        </is>
      </c>
    </row>
    <row r="103">
      <c r="A103" s="3" t="inlineStr">
        <is>
          <t>[S] PV × (1 + r)^n - gelecekteki tutar (0 olmalı)</t>
        </is>
      </c>
      <c r="B103" s="12">
        <f>B102*(1+B32)^B99-B98</f>
        <v/>
      </c>
    </row>
    <row r="104">
      <c r="A104" s="3" t="inlineStr">
        <is>
          <t>[S] Formül - PV (0 olmalı)</t>
        </is>
      </c>
      <c r="B104" s="12">
        <f>B101-B102</f>
        <v/>
      </c>
    </row>
    <row r="105">
      <c r="A105" s="3" t="inlineStr">
        <is>
          <t>[Y] Yıllık %40 varken 1 yıl sonraki 100.000 TL bugün 71.428,57 TL eder: bu tutarı bugün %40 ile yatıran 1 yıl sonra 100.000 TL'ye ulaşır.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70" customWidth="1" min="7" max="7"/>
  </cols>
  <sheetData>
    <row r="1">
      <c r="A1" s="8" t="inlineStr">
        <is>
          <t>[G] Anapara (TL)</t>
        </is>
      </c>
      <c r="B1" s="9" t="n">
        <v>10000</v>
      </c>
      <c r="C1" s="7" t="inlineStr">
        <is>
          <t>Mavi yazı = girdi. Bu üç hücre değiştirildiğinde bütün sayfa yeniden hesaplanır.</t>
        </is>
      </c>
    </row>
    <row r="2">
      <c r="A2" s="8" t="inlineStr">
        <is>
          <t>[G] Yıllık faiz oranı</t>
        </is>
      </c>
      <c r="B2" s="10" t="n">
        <v>0.4</v>
      </c>
      <c r="C2" s="7" t="inlineStr">
        <is>
          <t>Hücrede 0,40 saklanır; yüzde biçimi yüzünden yüzde olarak, iki ondalıkla (40,00 ve % işareti) görünür.</t>
        </is>
      </c>
    </row>
    <row r="3">
      <c r="A3" s="8" t="inlineStr">
        <is>
          <t>[G] Süre (yıl)</t>
        </is>
      </c>
      <c r="B3" s="14" t="n">
        <v>3</v>
      </c>
      <c r="C3" s="7" t="inlineStr">
        <is>
          <t>Aşağıdaki yıl yıl tablo 3 yıl için kurulmuştur. B3 değiştirildiğinde [S] Sağlama bloğu farkı gösterir.</t>
        </is>
      </c>
    </row>
    <row r="4">
      <c r="A4" s="8" t="inlineStr">
        <is>
          <t>[H] Hesap</t>
        </is>
      </c>
      <c r="C4" s="7" t="inlineStr">
        <is>
          <t>B4 bilerek boş bırakılmıştır: aşağıdaki 'göreli başvuru hatası' örneği bu hücreyi kullanır.</t>
        </is>
      </c>
    </row>
    <row r="5">
      <c r="A5" s="3" t="inlineStr">
        <is>
          <t>Basit faizle süre sonunda (TL)</t>
        </is>
      </c>
      <c r="B5" s="11">
        <f>B1*(1+B2*B3)</f>
        <v/>
      </c>
      <c r="C5" s="7" t="inlineStr">
        <is>
          <t>B5: =B1*(1+B2*B3). Faiz yalnız anaparaya işler. Parantez içi önce hesaplanır.</t>
        </is>
      </c>
    </row>
    <row r="6">
      <c r="A6" s="3" t="inlineStr">
        <is>
          <t>Bileşik faizle süre sonunda (TL)</t>
        </is>
      </c>
      <c r="B6" s="11">
        <f>B1*(1+B2)^B3</f>
        <v/>
      </c>
      <c r="C6" s="7" t="inlineStr">
        <is>
          <t>B6: =B1*(1+B2)^B3. ^ üs anlamına gelir: (1+B2), B3 kez yan yana çarpılır: (1+B2)×(1+B2)×(1+B2).</t>
        </is>
      </c>
    </row>
    <row r="7">
      <c r="A7" s="16" t="inlineStr">
        <is>
          <t>Yıl</t>
        </is>
      </c>
      <c r="B7" s="16" t="inlineStr">
        <is>
          <t>Bileşik bakiye (TL)</t>
        </is>
      </c>
      <c r="C7" s="16" t="inlineStr">
        <is>
          <t>Bileşik faiz, o yıl (TL)</t>
        </is>
      </c>
      <c r="D7" s="16" t="inlineStr">
        <is>
          <t>Basit bakiye (TL)</t>
        </is>
      </c>
      <c r="E7" s="16" t="inlineStr">
        <is>
          <t>Basit faiz, o yıl (TL)</t>
        </is>
      </c>
      <c r="F7" s="16" t="inlineStr">
        <is>
          <t>Fark: faizin faizi (TL)</t>
        </is>
      </c>
    </row>
    <row r="8">
      <c r="A8" s="14" t="n">
        <v>0</v>
      </c>
      <c r="B8" s="11">
        <f>B1</f>
        <v/>
      </c>
      <c r="D8" s="11">
        <f>B1</f>
        <v/>
      </c>
      <c r="F8" s="11">
        <f>B8-D8</f>
        <v/>
      </c>
      <c r="G8" s="7" t="inlineStr">
        <is>
          <t>0. yıl: bakiye anaparaya eşit (B8 =B1, D8 =B1).</t>
        </is>
      </c>
    </row>
    <row r="9">
      <c r="A9" s="17">
        <f>A8+1</f>
        <v/>
      </c>
      <c r="B9" s="11">
        <f>B8*(1+$B$2)</f>
        <v/>
      </c>
      <c r="C9" s="11">
        <f>B9-B8</f>
        <v/>
      </c>
      <c r="D9" s="11">
        <f>$B$1*(1+$B$2*A9)</f>
        <v/>
      </c>
      <c r="E9" s="11">
        <f>D9-D8</f>
        <v/>
      </c>
      <c r="F9" s="11">
        <f>B9-D9</f>
        <v/>
      </c>
      <c r="G9" s="7" t="inlineStr">
        <is>
          <t>B9: =B8*(1+$B$2). $ oranı sabitler: aşağı sürüklendiğinde B2 kaymaz, B8 ise B9, B10 olur.</t>
        </is>
      </c>
    </row>
    <row r="10">
      <c r="A10" s="17">
        <f>A9+1</f>
        <v/>
      </c>
      <c r="B10" s="11">
        <f>B9*(1+$B$2)</f>
        <v/>
      </c>
      <c r="C10" s="11">
        <f>B10-B9</f>
        <v/>
      </c>
      <c r="D10" s="11">
        <f>$B$1*(1+$B$2*A10)</f>
        <v/>
      </c>
      <c r="E10" s="11">
        <f>D10-D9</f>
        <v/>
      </c>
      <c r="F10" s="11">
        <f>B10-D10</f>
        <v/>
      </c>
      <c r="G10" s="7" t="inlineStr">
        <is>
          <t>D9: =$B$1*(1+$B$2*A9). Basit faiz formülü, süre yerine o satırın yılı (A9).</t>
        </is>
      </c>
    </row>
    <row r="11">
      <c r="A11" s="17">
        <f>A10+1</f>
        <v/>
      </c>
      <c r="B11" s="11">
        <f>B10*(1+$B$2)</f>
        <v/>
      </c>
      <c r="C11" s="11">
        <f>B11-B10</f>
        <v/>
      </c>
      <c r="D11" s="11">
        <f>$B$1*(1+$B$2*A11)</f>
        <v/>
      </c>
      <c r="E11" s="11">
        <f>D11-D10</f>
        <v/>
      </c>
      <c r="F11" s="11">
        <f>B11-D11</f>
        <v/>
      </c>
      <c r="G11" s="7" t="inlineStr">
        <is>
          <t>C9: =B9-B8 (o yılın faizi). F9: =B9-D9 (bileşik ile basit farkı).</t>
        </is>
      </c>
    </row>
    <row r="12">
      <c r="A12" s="2" t="inlineStr">
        <is>
          <t>Toplam (SUM)</t>
        </is>
      </c>
      <c r="C12" s="11">
        <f>SUM(C9:C11)</f>
        <v/>
      </c>
      <c r="E12" s="11">
        <f>SUM(E9:E11)</f>
        <v/>
      </c>
      <c r="G12" s="7" t="inlineStr">
        <is>
          <t>Formül: =SUM(C9:C11). C9:C11 = C9'dan C11'e kadar.</t>
        </is>
      </c>
    </row>
    <row r="13">
      <c r="A13" s="2" t="inlineStr">
        <is>
          <t>Ortalama (AVERAGE)</t>
        </is>
      </c>
      <c r="C13" s="11">
        <f>AVERAGE(C9:C11)</f>
        <v/>
      </c>
      <c r="E13" s="11">
        <f>AVERAGE(E9:E11)</f>
        <v/>
      </c>
      <c r="G13" s="7" t="inlineStr">
        <is>
          <t>Formül: =AVERAGE(C9:C11). C9:C11 = C9'dan C11'e kadar.</t>
        </is>
      </c>
    </row>
    <row r="14">
      <c r="A14" s="2" t="inlineStr">
        <is>
          <t>En küçük (MIN)</t>
        </is>
      </c>
      <c r="C14" s="11">
        <f>MIN(C9:C11)</f>
        <v/>
      </c>
      <c r="E14" s="11">
        <f>MIN(E9:E11)</f>
        <v/>
      </c>
      <c r="G14" s="7" t="inlineStr">
        <is>
          <t>Formül: =MIN(C9:C11). C9:C11 = C9'dan C11'e kadar.</t>
        </is>
      </c>
    </row>
    <row r="15">
      <c r="A15" s="2" t="inlineStr">
        <is>
          <t>En büyük (MAX)</t>
        </is>
      </c>
      <c r="C15" s="11">
        <f>MAX(C9:C11)</f>
        <v/>
      </c>
      <c r="E15" s="11">
        <f>MAX(E9:E11)</f>
        <v/>
      </c>
      <c r="G15" s="7" t="inlineStr">
        <is>
          <t>Formül: =MAX(C9:C11). C9:C11 = C9'dan C11'e kadar.</t>
        </is>
      </c>
    </row>
    <row r="17">
      <c r="A17" s="8" t="inlineStr">
        <is>
          <t>[H] Göreli başvuru hatası: $ olmadan sürüklenen tablo</t>
        </is>
      </c>
    </row>
    <row r="18">
      <c r="A18" s="7" t="inlineStr">
        <is>
          <t>B21'e =B20*(1+B2) yazılmış ve B23'e kadar aşağı sürüklenmiştir. Sürükleme sırasında bütün başvurular birer satır kayar.</t>
        </is>
      </c>
    </row>
    <row r="19">
      <c r="A19" s="16" t="inlineStr">
        <is>
          <t>Yıl</t>
        </is>
      </c>
      <c r="B19" s="16" t="inlineStr">
        <is>
          <t>Bakiye, $ yok (TL)</t>
        </is>
      </c>
      <c r="C19" s="16" t="inlineStr">
        <is>
          <t>Doğru bakiye (TL)</t>
        </is>
      </c>
      <c r="D19" s="16" t="inlineStr">
        <is>
          <t>Hücredeki formül ve sonucu</t>
        </is>
      </c>
    </row>
    <row r="20">
      <c r="A20" s="14" t="n">
        <v>0</v>
      </c>
      <c r="B20" s="11">
        <f>B1</f>
        <v/>
      </c>
      <c r="C20" s="11">
        <f>B8</f>
        <v/>
      </c>
      <c r="D20" s="7" t="inlineStr">
        <is>
          <t>B20: =B1. Başlangıç bakiyesi anapara.</t>
        </is>
      </c>
    </row>
    <row r="21">
      <c r="A21" s="17">
        <f>A20+1</f>
        <v/>
      </c>
      <c r="B21" s="11">
        <f>B20*(1+B2)</f>
        <v/>
      </c>
      <c r="C21" s="11">
        <f>B9</f>
        <v/>
      </c>
      <c r="D21" s="7" t="inlineStr">
        <is>
          <t>B21: =B20*(1+B2). Oran B2'den gelir. Bu satır doğrudur: 14.000 TL.</t>
        </is>
      </c>
    </row>
    <row r="22">
      <c r="A22" s="17">
        <f>A21+1</f>
        <v/>
      </c>
      <c r="B22" s="11">
        <f>B21*(1+B3)</f>
        <v/>
      </c>
      <c r="C22" s="11">
        <f>B10</f>
        <v/>
      </c>
      <c r="D22" s="7" t="inlineStr">
        <is>
          <t>B22: =B21*(1+B3). B2 kaymış, B3 olmuştur: oran yerine süre (3) kullanılmıştır. Bakiye 4 katına çıkmıştır.</t>
        </is>
      </c>
    </row>
    <row r="23">
      <c r="A23" s="17">
        <f>A22+1</f>
        <v/>
      </c>
      <c r="B23" s="11">
        <f>B22*(1+B4)</f>
        <v/>
      </c>
      <c r="C23" s="11">
        <f>B11</f>
        <v/>
      </c>
      <c r="D23" s="7" t="inlineStr">
        <is>
          <t>B23: =B22*(1+B4). B3 kaymış, B4 olmuştur. B4 boştur; Excel boş hücreyi 0 sayar. Bakiye hiç büyümemiştir.</t>
        </is>
      </c>
    </row>
    <row r="24">
      <c r="A24" s="7" t="inlineStr">
        <is>
          <t>Düzeltme: B21'e =B20*(1+$B$2) yazılıp formül aşağı sürüklenir. $ işareti Windows'ta F4 ile, Mac'te formül düzenlenirken Cmd+T ya da F4 ile eklenir.</t>
        </is>
      </c>
    </row>
    <row r="26">
      <c r="A26" s="8" t="inlineStr">
        <is>
          <t>[H] ROUND ile biçimlendirme farkı</t>
        </is>
      </c>
    </row>
    <row r="27">
      <c r="A27" s="3" t="inlineStr">
        <is>
          <t>Yuvarlama basamağı (ondalık hane sayısı)</t>
        </is>
      </c>
      <c r="B27" s="14" t="n">
        <v>0</v>
      </c>
      <c r="C27" s="7" t="inlineStr">
        <is>
          <t>0 = tam sayıya yuvarlama. 2 yazıldığında B33'teki fark 1 TL'den 1 kuruşa iner.</t>
        </is>
      </c>
    </row>
    <row r="28">
      <c r="A28" s="3" t="inlineStr">
        <is>
          <t>Ortalama yıllık bileşik faiz, ham değer (TL)</t>
        </is>
      </c>
      <c r="B28" s="24">
        <f>C13</f>
        <v/>
      </c>
      <c r="C28" s="7" t="inlineStr">
        <is>
          <t>Hücrenin gerçek değeri: 5.813,333333... (C13'teki AVERAGE).</t>
        </is>
      </c>
    </row>
    <row r="29">
      <c r="A29" s="3" t="inlineStr">
        <is>
          <t>Aynı değer, kuruşsuz biçimle gösterilmiş (TL)</t>
        </is>
      </c>
      <c r="B29" s="25">
        <f>C13</f>
        <v/>
      </c>
      <c r="C29" s="7" t="inlineStr">
        <is>
          <t>Biçim yalnız görünüşü değiştirir. Ekranda 5.813, içeride hâlâ 5.813,3333.</t>
        </is>
      </c>
    </row>
    <row r="30">
      <c r="A30" s="3" t="inlineStr">
        <is>
          <t>ROUND ile yuvarlanmış (TL)</t>
        </is>
      </c>
      <c r="B30" s="25">
        <f>ROUND(C13,B27)</f>
        <v/>
      </c>
      <c r="C30" s="7" t="inlineStr">
        <is>
          <t>Formül: =ROUND(C13,B27). Değerin kendisi 5.813 olmuştur.</t>
        </is>
      </c>
    </row>
    <row r="31">
      <c r="A31" s="3" t="inlineStr">
        <is>
          <t>Biçimli değer × süre (TL)</t>
        </is>
      </c>
      <c r="B31" s="11">
        <f>B29*B3</f>
        <v/>
      </c>
      <c r="C31" s="7" t="inlineStr">
        <is>
          <t>Formül: =B29*B3. Ortalama faiz × 3 yıl = toplam faiz: 17.440 (C12 ile aynı).</t>
        </is>
      </c>
    </row>
    <row r="32">
      <c r="A32" s="3" t="inlineStr">
        <is>
          <t>Yuvarlanmış değer × süre (TL)</t>
        </is>
      </c>
      <c r="B32" s="11">
        <f>B30*B3</f>
        <v/>
      </c>
      <c r="C32" s="7" t="inlineStr">
        <is>
          <t>Formül: =B30*B3. 17.439: yuvarlama kaybı sonraki hesaba taşınmıştır.</t>
        </is>
      </c>
    </row>
    <row r="33">
      <c r="A33" s="3" t="inlineStr">
        <is>
          <t>Fark (TL)</t>
        </is>
      </c>
      <c r="B33" s="11">
        <f>B31-B32</f>
        <v/>
      </c>
      <c r="C33" s="7" t="inlineStr">
        <is>
          <t>B29 ile B30 ekranda aynı görünür ama farklı değer saklar.</t>
        </is>
      </c>
    </row>
    <row r="35">
      <c r="A35" s="8" t="inlineStr">
        <is>
          <t>[S] Sağlama: iki yol aynı sonucu vermeli</t>
        </is>
      </c>
    </row>
    <row r="36">
      <c r="A36" s="3" t="inlineStr">
        <is>
          <t>Bileşik: tablonun son satırı - tek hücre (0 olmalı)</t>
        </is>
      </c>
      <c r="B36" s="12">
        <f>B11-B6</f>
        <v/>
      </c>
      <c r="C36" s="7" t="inlineStr">
        <is>
          <t>Formül: =B11-B6</t>
        </is>
      </c>
    </row>
    <row r="37">
      <c r="A37" s="3" t="inlineStr">
        <is>
          <t>Basit: tablonun son satırı - tek hücre (0 olmalı)</t>
        </is>
      </c>
      <c r="B37" s="12">
        <f>D11-B5</f>
        <v/>
      </c>
      <c r="C37" s="7" t="inlineStr">
        <is>
          <t>Formül: =D11-B5</t>
        </is>
      </c>
    </row>
    <row r="38">
      <c r="A38" s="3" t="inlineStr">
        <is>
          <t>Anapara + toplam bileşik faiz - son bakiye (0 olmalı)</t>
        </is>
      </c>
      <c r="B38" s="12">
        <f>B1+C12-B11</f>
        <v/>
      </c>
      <c r="C38" s="7" t="inlineStr">
        <is>
          <t>Formül: =B1+C12-B11. Üçüncü yol: yıllık faizleri toplayıp anaparaya eklemek.</t>
        </is>
      </c>
    </row>
    <row r="39">
      <c r="A39" s="7" t="inlineStr">
        <is>
          <t>Üç fark da 0,000000 ise tablo ile tek hücre formülleri tutarlıdır. Sıfır değilse bir formülde hata vardır.</t>
        </is>
      </c>
    </row>
    <row r="41">
      <c r="A41" s="8" t="inlineStr">
        <is>
          <t>[Y] Yorum (varsayılan girdilerle: 10.000 TL, %40, 3 yıl)</t>
        </is>
      </c>
    </row>
    <row r="42">
      <c r="A42" s="3" t="inlineStr">
        <is>
          <t>Bileşik faiz 27.440 TL, basit faiz 22.000 TL verir. Aradaki 5.440 TL 'faizin faizi'dir.</t>
        </is>
      </c>
    </row>
    <row r="43">
      <c r="A43" s="3" t="inlineStr">
        <is>
          <t>Bileşikte her yılın faizi anaparaya eklenir ve ertesi yıl o da faiz kazanır. Basitte faiz hep 10.000 TL üzerinden hesaplanır.</t>
        </is>
      </c>
    </row>
    <row r="44">
      <c r="A44" s="3" t="inlineStr">
        <is>
          <t>1. yılın sonunda iki yöntem aynıdır (14.000 TL). Fark 2. yılda 1.600 TL, 3. yılda 5.440 TL: süre uzadıkça hızlanarak büyür.</t>
        </is>
      </c>
    </row>
    <row r="45">
      <c r="A45" s="3" t="inlineStr">
        <is>
          <t>Bileşik faiz her yıl artar (4.000, 5.600, 7.840 TL); basit faiz her yıl aynıdır (4.000 TL).</t>
        </is>
      </c>
    </row>
    <row r="47">
      <c r="A47" s="8" t="inlineStr">
        <is>
          <t>Ek A: veri tipleri</t>
        </is>
      </c>
    </row>
    <row r="48">
      <c r="A48" s="16" t="inlineStr">
        <is>
          <t>Tip</t>
        </is>
      </c>
      <c r="B48" s="16" t="inlineStr">
        <is>
          <t>Örnek</t>
        </is>
      </c>
      <c r="C48" s="16" t="inlineStr">
        <is>
          <t>Aynı değer, başka biçimde</t>
        </is>
      </c>
      <c r="D48" s="16" t="inlineStr">
        <is>
          <t>Nasıl anlaşılır?</t>
        </is>
      </c>
    </row>
    <row r="49">
      <c r="A49" s="3" t="inlineStr">
        <is>
          <t>Sayı</t>
        </is>
      </c>
      <c r="B49" s="26" t="n">
        <v>10000</v>
      </c>
      <c r="D49" s="7" t="inlineStr">
        <is>
          <t>Sağa yaslanır. Hesaplarda kullanılır.</t>
        </is>
      </c>
    </row>
    <row r="50">
      <c r="A50" s="3" t="inlineStr">
        <is>
          <t>Metin</t>
        </is>
      </c>
      <c r="B50" s="26" t="inlineStr">
        <is>
          <t>Anapara</t>
        </is>
      </c>
      <c r="D50" s="7" t="inlineStr">
        <is>
          <t>Sola yaslanır. Hesaba girmez.</t>
        </is>
      </c>
    </row>
    <row r="51">
      <c r="A51" s="3" t="inlineStr">
        <is>
          <t>Yüzde (bir sayı biçimi)</t>
        </is>
      </c>
      <c r="B51" s="13">
        <f>B2</f>
        <v/>
      </c>
      <c r="C51" s="15">
        <f>B2</f>
        <v/>
      </c>
      <c r="D51" s="7" t="inlineStr">
        <is>
          <t>İkisi de B2'yi gösterir: %40 ile 0,40 aynı değerdir, yalnız biçim farklıdır.</t>
        </is>
      </c>
    </row>
    <row r="52">
      <c r="A52" s="3" t="inlineStr">
        <is>
          <t>Tarih</t>
        </is>
      </c>
      <c r="B52" s="27" t="n">
        <v>46293</v>
      </c>
      <c r="C52" s="17">
        <f>B52</f>
        <v/>
      </c>
      <c r="D52" s="7" t="inlineStr">
        <is>
          <t>Excel tarihi gün sayısı olarak saklar (bu dosyada 1 Ocak 1900 = 1). C52 aynı tarihi sayı biçiminde gösterir.</t>
        </is>
      </c>
    </row>
    <row r="53">
      <c r="A53" s="3" t="inlineStr">
        <is>
          <t>Mantıksal (doğru / yanlış)</t>
        </is>
      </c>
      <c r="B53" s="28">
        <f>B6&gt;B5</f>
        <v/>
      </c>
      <c r="D53" s="7" t="inlineStr">
        <is>
          <t>Formül: =B6&gt;B5: 'bileşik sonuç basitten büyük mü?' İngilizce Excel TRUE/FALSE yazar; Türkçe Excel'deki karşılığı dosyada görülür.</t>
        </is>
      </c>
    </row>
    <row r="55">
      <c r="A55" s="8" t="inlineStr">
        <is>
          <t>Ek B: metin olarak saklanan sayı</t>
        </is>
      </c>
    </row>
    <row r="56">
      <c r="A56" s="7" t="inlineStr">
        <is>
          <t>Aynı dört harcama üç kez girilmiştir. C60'ta 3000 metin olarak, D60'ta sayının yanına birim yazılarak girilmiştir.</t>
        </is>
      </c>
    </row>
    <row r="57">
      <c r="A57" s="16" t="inlineStr">
        <is>
          <t>Harcama</t>
        </is>
      </c>
      <c r="B57" s="16" t="inlineStr">
        <is>
          <t>Sayı olarak (TL)</t>
        </is>
      </c>
      <c r="C57" s="16" t="inlineStr">
        <is>
          <t>3000 metin olarak (TL)</t>
        </is>
      </c>
      <c r="D57" s="16" t="inlineStr">
        <is>
          <t>Birim yazılmış (TL)</t>
        </is>
      </c>
    </row>
    <row r="58">
      <c r="A58" s="3" t="inlineStr">
        <is>
          <t>1. harcama</t>
        </is>
      </c>
      <c r="B58" s="26" t="n">
        <v>1000</v>
      </c>
      <c r="C58" s="26" t="n">
        <v>1000</v>
      </c>
      <c r="D58" s="26" t="n">
        <v>1000</v>
      </c>
    </row>
    <row r="59">
      <c r="A59" s="3" t="inlineStr">
        <is>
          <t>2. harcama</t>
        </is>
      </c>
      <c r="B59" s="26" t="n">
        <v>2000</v>
      </c>
      <c r="C59" s="26" t="n">
        <v>2000</v>
      </c>
      <c r="D59" s="26" t="n">
        <v>2000</v>
      </c>
    </row>
    <row r="60">
      <c r="A60" s="3" t="inlineStr">
        <is>
          <t>3. harcama</t>
        </is>
      </c>
      <c r="B60" s="26" t="n">
        <v>3000</v>
      </c>
      <c r="C60" s="26" t="inlineStr">
        <is>
          <t>3000</t>
        </is>
      </c>
      <c r="D60" s="26" t="inlineStr">
        <is>
          <t>3.000 TL</t>
        </is>
      </c>
    </row>
    <row r="61">
      <c r="A61" s="3" t="inlineStr">
        <is>
          <t>4. harcama</t>
        </is>
      </c>
      <c r="B61" s="26" t="n">
        <v>4000</v>
      </c>
      <c r="C61" s="26" t="n">
        <v>4000</v>
      </c>
      <c r="D61" s="26" t="n">
        <v>4000</v>
      </c>
    </row>
    <row r="62">
      <c r="A62" s="2" t="inlineStr">
        <is>
          <t>SUM</t>
        </is>
      </c>
      <c r="B62" s="15">
        <f>SUM(B58:B61)</f>
        <v/>
      </c>
      <c r="C62" s="15">
        <f>SUM(C58:C61)</f>
        <v/>
      </c>
      <c r="D62" s="15">
        <f>SUM(D58:D61)</f>
        <v/>
      </c>
    </row>
    <row r="63">
      <c r="A63" s="2" t="inlineStr">
        <is>
          <t>AVERAGE</t>
        </is>
      </c>
      <c r="B63" s="15">
        <f>AVERAGE(B58:B61)</f>
        <v/>
      </c>
      <c r="D63" s="15">
        <f>AVERAGE(D58:D61)</f>
        <v/>
      </c>
    </row>
    <row r="64">
      <c r="A64" s="7" t="inlineStr">
        <is>
          <t>SUM ve AVERAGE metni atlar: C62 ve D62 10.000 yerine 7.000 verir; D63 3'e böler (2.333,33). Metin hücreleri sola yaslıdır.</t>
        </is>
      </c>
    </row>
    <row r="65">
      <c r="A65" s="7" t="inlineStr">
        <is>
          <t>Deneme: C63'e =AVERAGE(C58:C61) yazılır. Metin atlandığı için sonuç D63 ile aynı olur.</t>
        </is>
      </c>
    </row>
    <row r="66">
      <c r="A66" s="8" t="inlineStr">
        <is>
          <t>Ek C: işlem önceliği</t>
        </is>
      </c>
    </row>
    <row r="67">
      <c r="A67" s="7" t="inlineStr">
        <is>
          <t>Sıra: 1) parantez, 2) üs ^, 3) çarpma * ve bölme /, 4) toplama + ve çıkarma -. Aynı düzeydekiler soldan sağa.</t>
        </is>
      </c>
    </row>
    <row r="68">
      <c r="A68" s="3" t="inlineStr">
        <is>
          <t>x</t>
        </is>
      </c>
      <c r="B68" s="26" t="n">
        <v>2</v>
      </c>
    </row>
    <row r="69">
      <c r="A69" s="3" t="inlineStr">
        <is>
          <t>y</t>
        </is>
      </c>
      <c r="B69" s="26" t="n">
        <v>3</v>
      </c>
    </row>
    <row r="70">
      <c r="A70" s="3" t="inlineStr">
        <is>
          <t>z</t>
        </is>
      </c>
      <c r="B70" s="26" t="n">
        <v>4</v>
      </c>
    </row>
    <row r="71">
      <c r="A71" s="3" t="inlineStr">
        <is>
          <t>x+y*z: önce çarpma</t>
        </is>
      </c>
      <c r="B71" s="15">
        <f>B68+B69*B70</f>
        <v/>
      </c>
      <c r="C71" s="7" t="inlineStr">
        <is>
          <t>Formül: =B68+B69*B70 → 2 + 12 = 14</t>
        </is>
      </c>
    </row>
    <row r="72">
      <c r="A72" s="3" t="inlineStr">
        <is>
          <t>(x+y)*z: önce parantez</t>
        </is>
      </c>
      <c r="B72" s="15">
        <f>(B68+B69)*B70</f>
        <v/>
      </c>
      <c r="C72" s="7" t="inlineStr">
        <is>
          <t>Formül: =(B68+B69)*B70 → 5 × 4 = 20</t>
        </is>
      </c>
    </row>
    <row r="73">
      <c r="A73" s="3" t="inlineStr">
        <is>
          <t>Yanlış basit faiz: parantez unutulmuş</t>
        </is>
      </c>
      <c r="B73" s="15">
        <f>B1*1+B2*B3</f>
        <v/>
      </c>
      <c r="C73" s="7" t="inlineStr">
        <is>
          <t>Formül: =B1*1+B2*B3 → Excel önce B1*1 ve B2*B3'ü hesaplar, sonra toplar: 10.000 + 1,2. Doğrusu B5.</t>
        </is>
      </c>
    </row>
    <row r="74">
      <c r="A74" s="3" t="inlineStr">
        <is>
          <t>Yanlış bileşik faiz: parantez yanlış yerde</t>
        </is>
      </c>
      <c r="B74" s="29">
        <f>(B1*(1+B2))^B3</f>
        <v/>
      </c>
      <c r="C74" s="7" t="inlineStr">
        <is>
          <t>Formül: =(B1*(1+B2))^B3 → üs 14.000'in tamamına uygulanmıştır: 2,744 × 10^12. Doğrusu B6.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60" customWidth="1" min="7" max="7"/>
  </cols>
  <sheetData>
    <row r="1">
      <c r="A1" s="1" t="inlineStr">
        <is>
          <t>Alıştırma (çekirdek görev): 5 yıllık basit ve bileşik faiz tablosu</t>
        </is>
      </c>
    </row>
    <row r="2">
      <c r="A2" s="7" t="inlineStr">
        <is>
          <t>Sarı hücreler öğrenci tarafından doldurulur. Hesap sayfasındaki formüller örnek alınır; girdiler bu sayfanın B5:B7 hücrelerinden gelir.</t>
        </is>
      </c>
    </row>
    <row r="3">
      <c r="A3" s="7" t="inlineStr">
        <is>
          <t>Formüle sayı yazılmaz (ör. 0,35). Oran $B$6 ile sabitlenip formül aşağı sürüklenir.</t>
        </is>
      </c>
    </row>
    <row r="4">
      <c r="A4" s="8" t="inlineStr">
        <is>
          <t>[G] Girdiler</t>
        </is>
      </c>
    </row>
    <row r="5">
      <c r="A5" s="3" t="inlineStr">
        <is>
          <t>Anapara (TL)</t>
        </is>
      </c>
      <c r="B5" s="9" t="n">
        <v>25000</v>
      </c>
    </row>
    <row r="6">
      <c r="A6" s="3" t="inlineStr">
        <is>
          <t>Yıllık faiz oranı</t>
        </is>
      </c>
      <c r="B6" s="10" t="n">
        <v>0.35</v>
      </c>
    </row>
    <row r="7">
      <c r="A7" s="3" t="inlineStr">
        <is>
          <t>Süre (yıl)</t>
        </is>
      </c>
      <c r="B7" s="14" t="n">
        <v>5</v>
      </c>
    </row>
    <row r="9">
      <c r="A9" s="8" t="inlineStr">
        <is>
          <t>[H] Hesap: yıl yıl tablo</t>
        </is>
      </c>
    </row>
    <row r="10">
      <c r="A10" s="16" t="inlineStr">
        <is>
          <t>Yıl</t>
        </is>
      </c>
      <c r="B10" s="16" t="inlineStr">
        <is>
          <t>Bileşik bakiye (TL)</t>
        </is>
      </c>
      <c r="C10" s="16" t="inlineStr">
        <is>
          <t>Bileşik faiz, o yıl (TL)</t>
        </is>
      </c>
      <c r="D10" s="16" t="inlineStr">
        <is>
          <t>Basit bakiye (TL)</t>
        </is>
      </c>
      <c r="E10" s="16" t="inlineStr">
        <is>
          <t>Basit faiz, o yıl (TL)</t>
        </is>
      </c>
      <c r="F10" s="16" t="inlineStr">
        <is>
          <t>Fark: faizin faizi (TL)</t>
        </is>
      </c>
    </row>
    <row r="11">
      <c r="A11" s="14" t="n">
        <v>0</v>
      </c>
      <c r="B11" s="11">
        <f>B5</f>
        <v/>
      </c>
      <c r="D11" s="11">
        <f>B5</f>
        <v/>
      </c>
      <c r="F11" s="19" t="n"/>
    </row>
    <row r="12">
      <c r="A12" s="17">
        <f>A11+1</f>
        <v/>
      </c>
      <c r="B12" s="19" t="n"/>
      <c r="C12" s="19" t="n"/>
      <c r="D12" s="19" t="n"/>
      <c r="E12" s="19" t="n"/>
      <c r="F12" s="19" t="n"/>
    </row>
    <row r="13">
      <c r="A13" s="17">
        <f>A12+1</f>
        <v/>
      </c>
      <c r="B13" s="19" t="n"/>
      <c r="C13" s="19" t="n"/>
      <c r="D13" s="19" t="n"/>
      <c r="E13" s="19" t="n"/>
      <c r="F13" s="19" t="n"/>
    </row>
    <row r="14">
      <c r="A14" s="17">
        <f>A13+1</f>
        <v/>
      </c>
      <c r="B14" s="19" t="n"/>
      <c r="C14" s="19" t="n"/>
      <c r="D14" s="19" t="n"/>
      <c r="E14" s="19" t="n"/>
      <c r="F14" s="19" t="n"/>
    </row>
    <row r="15">
      <c r="A15" s="17">
        <f>A14+1</f>
        <v/>
      </c>
      <c r="B15" s="19" t="n"/>
      <c r="C15" s="19" t="n"/>
      <c r="D15" s="19" t="n"/>
      <c r="E15" s="19" t="n"/>
      <c r="F15" s="19" t="n"/>
    </row>
    <row r="16">
      <c r="A16" s="17">
        <f>A15+1</f>
        <v/>
      </c>
      <c r="B16" s="19" t="n"/>
      <c r="C16" s="19" t="n"/>
      <c r="D16" s="19" t="n"/>
      <c r="E16" s="19" t="n"/>
      <c r="F16" s="19" t="n"/>
    </row>
    <row r="17">
      <c r="A17" s="2" t="inlineStr">
        <is>
          <t>Toplam (SUM)</t>
        </is>
      </c>
      <c r="C17" s="19" t="n"/>
      <c r="E17" s="19" t="n"/>
    </row>
    <row r="18">
      <c r="A18" s="2" t="inlineStr">
        <is>
          <t>En büyük (MAX)</t>
        </is>
      </c>
      <c r="C18" s="19" t="n"/>
      <c r="E18" s="19" t="n"/>
      <c r="F18" s="19" t="n"/>
    </row>
    <row r="20">
      <c r="A20" s="8" t="inlineStr">
        <is>
          <t>[S] Sağlama</t>
        </is>
      </c>
    </row>
    <row r="21">
      <c r="A21" s="3" t="inlineStr">
        <is>
          <t>Bileşik, tek hücre formülü (TL)</t>
        </is>
      </c>
      <c r="B21" s="19" t="n"/>
    </row>
    <row r="22">
      <c r="A22" s="3" t="inlineStr">
        <is>
          <t>Fark: tablonun son satırı - tek hücre (0 olmalı)</t>
        </is>
      </c>
      <c r="B22" s="30" t="n"/>
    </row>
    <row r="23">
      <c r="A23" s="3" t="inlineStr">
        <is>
          <t>Basit, tek hücre formülü (TL)</t>
        </is>
      </c>
      <c r="B23" s="19" t="n"/>
    </row>
    <row r="24">
      <c r="A24" s="3" t="inlineStr">
        <is>
          <t>Fark: tablonun son satırı - tek hücre (0 olmalı)</t>
        </is>
      </c>
      <c r="B24" s="30" t="n"/>
    </row>
    <row r="26">
      <c r="A26" s="8" t="inlineStr">
        <is>
          <t>[Y] Yorum</t>
        </is>
      </c>
    </row>
    <row r="27">
      <c r="A27" s="7" t="inlineStr">
        <is>
          <t>Önce B28'de faizin faizi anaparaya oranlanır. Sonra B29'a bir cümle yazılır ve sonuç Hesap sayfasıyla karşılaştırılır (3 yılda 5.440 TL, anaparanın %54,4'ü).</t>
        </is>
      </c>
    </row>
    <row r="28">
      <c r="A28" s="3" t="inlineStr">
        <is>
          <t>Faizin faizi / anapara</t>
        </is>
      </c>
      <c r="B28" s="31" t="n"/>
    </row>
    <row r="29">
      <c r="A29" s="2" t="inlineStr">
        <is>
          <t>Yorum:</t>
        </is>
      </c>
      <c r="B29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80" customWidth="1" min="3" max="3"/>
  </cols>
  <sheetData>
    <row r="1">
      <c r="A1" s="1" t="inlineStr">
        <is>
          <t>İleri görev: aylık bileşik ile yıllık bileşik</t>
        </is>
      </c>
    </row>
    <row r="2">
      <c r="A2" s="7" t="inlineStr">
        <is>
          <t>Faiz yılda bir kez değil her ay eklenirse ne olur? Önce çözümlü örnek, altında öğrenci görevi yer alır.</t>
        </is>
      </c>
    </row>
    <row r="4">
      <c r="A4" s="8" t="inlineStr">
        <is>
          <t>[G] Çözümlü örnek: girdiler</t>
        </is>
      </c>
    </row>
    <row r="5">
      <c r="A5" s="3" t="inlineStr">
        <is>
          <t>Anapara (TL)</t>
        </is>
      </c>
      <c r="B5" s="9" t="n">
        <v>10000</v>
      </c>
    </row>
    <row r="6">
      <c r="A6" s="3" t="inlineStr">
        <is>
          <t>Yıllık faiz oranı</t>
        </is>
      </c>
      <c r="B6" s="10" t="n">
        <v>0.4</v>
      </c>
    </row>
    <row r="7">
      <c r="A7" s="3" t="inlineStr">
        <is>
          <t>Süre (yıl)</t>
        </is>
      </c>
      <c r="B7" s="14" t="n">
        <v>3</v>
      </c>
    </row>
    <row r="8">
      <c r="A8" s="3" t="inlineStr">
        <is>
          <t>Yılda dönem sayısı (aylık bileşik = 12)</t>
        </is>
      </c>
      <c r="B8" s="14" t="n">
        <v>12</v>
      </c>
      <c r="C8" s="7" t="inlineStr">
        <is>
          <t>Formüle 12 yazılmaz; bu hücreye başvurulur. Üç aylık bileşik için 4 yazılır.</t>
        </is>
      </c>
    </row>
    <row r="10">
      <c r="A10" s="8" t="inlineStr">
        <is>
          <t>[D] Dönem ve oran eşleme</t>
        </is>
      </c>
    </row>
    <row r="11">
      <c r="A11" s="3" t="inlineStr">
        <is>
          <t>Dönem (aylık) oranı</t>
        </is>
      </c>
      <c r="B11" s="22">
        <f>B6/B8</f>
        <v/>
      </c>
      <c r="C11" s="7" t="inlineStr">
        <is>
          <t>Formül: =B6/B8. Yıllık oran yılda dönem sayısına bölünür: %40 / 12.</t>
        </is>
      </c>
    </row>
    <row r="12">
      <c r="A12" s="3" t="inlineStr">
        <is>
          <t>Toplam dönem sayısı</t>
        </is>
      </c>
      <c r="B12" s="17">
        <f>B7*B8</f>
        <v/>
      </c>
      <c r="C12" s="7" t="inlineStr">
        <is>
          <t>Formül: =B7*B8. 3 yıl × 12 ay = 36 dönem. Oran ile dönem aynı birimde olmalı (ikisi de aylık).</t>
        </is>
      </c>
    </row>
    <row r="14">
      <c r="A14" s="8" t="inlineStr">
        <is>
          <t>[H] Hesap</t>
        </is>
      </c>
    </row>
    <row r="15">
      <c r="A15" s="3" t="inlineStr">
        <is>
          <t>Yıllık bileşik, süre sonunda (TL)</t>
        </is>
      </c>
      <c r="B15" s="11">
        <f>B5*(1+B6)^B7</f>
        <v/>
      </c>
      <c r="C15" s="7" t="inlineStr">
        <is>
          <t>Formül: =B5*(1+B6)^B7. Hesap sayfasındaki B6 ile aynı: 27.440 TL.</t>
        </is>
      </c>
    </row>
    <row r="16">
      <c r="A16" s="3" t="inlineStr">
        <is>
          <t>Aylık bileşik, süre sonunda (TL)</t>
        </is>
      </c>
      <c r="B16" s="11">
        <f>B5*(1+B11)^B12</f>
        <v/>
      </c>
      <c r="C16" s="7" t="inlineStr">
        <is>
          <t>Formül: =B5*(1+B11)^B12. Aynı kalıp; yıllık oran yerine aylık oran, yıl yerine ay sayısı.</t>
        </is>
      </c>
    </row>
    <row r="17">
      <c r="A17" s="3" t="inlineStr">
        <is>
          <t>Fark: aylık - yıllık (TL)</t>
        </is>
      </c>
      <c r="B17" s="11">
        <f>B16-B15</f>
        <v/>
      </c>
    </row>
    <row r="18">
      <c r="A18" s="3" t="inlineStr">
        <is>
          <t>Yıllık etkin oran (aylık bileşiğin 1 yıllık etkisi)</t>
        </is>
      </c>
      <c r="B18" s="13">
        <f>(1+B11)^B8-1</f>
        <v/>
      </c>
      <c r="C18" s="7" t="inlineStr">
        <is>
          <t>Formül: =(1+B11)^B8-1. 1 TL, 12 ay aylık faizle kaç TL olur, eksi 1. H3'te EFFECT fonksiyonuyla yeniden ele alınır.</t>
        </is>
      </c>
    </row>
    <row r="20">
      <c r="A20" s="8" t="inlineStr">
        <is>
          <t>[S] Sağlama</t>
        </is>
      </c>
    </row>
    <row r="21">
      <c r="A21" s="3" t="inlineStr">
        <is>
          <t>Etkin oranla yıllık bileşik (TL)</t>
        </is>
      </c>
      <c r="B21" s="11">
        <f>B5*(1+B18)^B7</f>
        <v/>
      </c>
      <c r="C21" s="7" t="inlineStr">
        <is>
          <t>Formül: =B5*(1+B18)^B7. Etkin oran yıllık bileşik formülüne konduğunda B16 çıkmalıdır.</t>
        </is>
      </c>
    </row>
    <row r="22">
      <c r="A22" s="3" t="inlineStr">
        <is>
          <t>Fark (0 olmalı)</t>
        </is>
      </c>
      <c r="B22" s="12">
        <f>B21-B16</f>
        <v/>
      </c>
    </row>
    <row r="24">
      <c r="A24" s="8" t="inlineStr">
        <is>
          <t>[Y] Yorum</t>
        </is>
      </c>
    </row>
    <row r="25">
      <c r="A25" s="3" t="inlineStr">
        <is>
          <t>Aynı yıllık %40, faiz her ay eklenince yılda fiilen yaklaşık %48,21 gibi çalışır.</t>
        </is>
      </c>
    </row>
    <row r="26">
      <c r="A26" s="3" t="inlineStr">
        <is>
          <t>Faiz ne kadar sık eklenirse faizin faizi o kadar erken başlar ve sonuç büyür: 27.440 TL yerine 32.557,86 TL.</t>
        </is>
      </c>
    </row>
    <row r="28">
      <c r="A28" s="8" t="inlineStr">
        <is>
          <t>Öğrenci görevi: aynı hesabın aşağıdaki girdilerle kurulması (sarı hücreler)</t>
        </is>
      </c>
    </row>
    <row r="30">
      <c r="A30" s="8" t="inlineStr">
        <is>
          <t>[G] Girdiler</t>
        </is>
      </c>
    </row>
    <row r="31">
      <c r="A31" s="3" t="inlineStr">
        <is>
          <t>Anapara (TL)</t>
        </is>
      </c>
      <c r="B31" s="9" t="n">
        <v>25000</v>
      </c>
    </row>
    <row r="32">
      <c r="A32" s="3" t="inlineStr">
        <is>
          <t>Yıllık faiz oranı</t>
        </is>
      </c>
      <c r="B32" s="10" t="n">
        <v>0.35</v>
      </c>
    </row>
    <row r="33">
      <c r="A33" s="3" t="inlineStr">
        <is>
          <t>Süre (yıl)</t>
        </is>
      </c>
      <c r="B33" s="14" t="n">
        <v>5</v>
      </c>
    </row>
    <row r="34">
      <c r="A34" s="3" t="inlineStr">
        <is>
          <t>Yılda dönem sayısı</t>
        </is>
      </c>
      <c r="B34" s="14" t="n">
        <v>12</v>
      </c>
    </row>
    <row r="36">
      <c r="A36" s="8" t="inlineStr">
        <is>
          <t>[D] Dönem ve oran eşleme</t>
        </is>
      </c>
    </row>
    <row r="37">
      <c r="A37" s="3" t="inlineStr">
        <is>
          <t>Dönem (aylık) oranı</t>
        </is>
      </c>
      <c r="B37" s="32" t="n"/>
    </row>
    <row r="38">
      <c r="A38" s="3" t="inlineStr">
        <is>
          <t>Toplam dönem sayısı</t>
        </is>
      </c>
      <c r="B38" s="33" t="n"/>
    </row>
    <row r="40">
      <c r="A40" s="8" t="inlineStr">
        <is>
          <t>[H] Hesap</t>
        </is>
      </c>
    </row>
    <row r="41">
      <c r="A41" s="3" t="inlineStr">
        <is>
          <t>Yıllık bileşik, süre sonunda (TL)</t>
        </is>
      </c>
      <c r="B41" s="19" t="n"/>
    </row>
    <row r="42">
      <c r="A42" s="3" t="inlineStr">
        <is>
          <t>Aylık bileşik, süre sonunda (TL)</t>
        </is>
      </c>
      <c r="B42" s="19" t="n"/>
    </row>
    <row r="43">
      <c r="A43" s="3" t="inlineStr">
        <is>
          <t>Fark: aylık - yıllık (TL)</t>
        </is>
      </c>
      <c r="B43" s="19" t="n"/>
    </row>
    <row r="44">
      <c r="A44" s="3" t="inlineStr">
        <is>
          <t>Yıllık etkin oran</t>
        </is>
      </c>
      <c r="B44" s="20" t="n"/>
    </row>
    <row r="46">
      <c r="A46" s="8" t="inlineStr">
        <is>
          <t>[S] Sağlama</t>
        </is>
      </c>
    </row>
    <row r="47">
      <c r="A47" s="3" t="inlineStr">
        <is>
          <t>Etkin oranla yıllık bileşik (TL)</t>
        </is>
      </c>
      <c r="B47" s="19" t="n"/>
    </row>
    <row r="48">
      <c r="A48" s="3" t="inlineStr">
        <is>
          <t>Fark (0 olmalı)</t>
        </is>
      </c>
      <c r="B48" s="30" t="n"/>
    </row>
    <row r="50">
      <c r="A50" s="8" t="inlineStr">
        <is>
          <t>[Y] Yorum soruları</t>
        </is>
      </c>
    </row>
    <row r="51">
      <c r="A51" s="7" t="inlineStr">
        <is>
          <t>1) B34 4 yapılır (üç aylık bileşik). Sonuç yıllık bileşik ile aylık bileşik arasında mı kalır? Neden?</t>
        </is>
      </c>
    </row>
    <row r="52">
      <c r="A52" s="7" t="inlineStr">
        <is>
          <t>2) Varsayımsal iki teklif: A yıllık %45 yıllık bileşik, B yıllık %42 aylık bileşik. Hangisi daha çok kazandırır? Karşılaştırma etkin oranla yapılır.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22" customWidth="1" min="5" max="5"/>
    <col width="70" customWidth="1" min="6" max="6"/>
  </cols>
  <sheetData>
    <row r="1">
      <c r="A1" s="1" t="inlineStr">
        <is>
          <t>Ev çalışması (notsuz): 12 aylık bütçe ve birikimin faizle büyümesi</t>
        </is>
      </c>
    </row>
    <row r="2">
      <c r="A2" s="7" t="inlineStr">
        <is>
          <t>Sayılar öğretim amaçlı sentetik değerlerdir; gerçek bir kişiye ya da resmî istatistiğe dayanmaz. Mavi hücreler istenirse başka bir bütçenin değerleriyle değiştirilebilir.</t>
        </is>
      </c>
    </row>
    <row r="4">
      <c r="A4" s="8" t="inlineStr">
        <is>
          <t>[G] Varsayımlar</t>
        </is>
      </c>
    </row>
    <row r="5">
      <c r="A5" s="3" t="inlineStr">
        <is>
          <t>Yıllık faiz oranı (birikim için)</t>
        </is>
      </c>
      <c r="B5" s="10" t="n">
        <v>0.4</v>
      </c>
      <c r="C5" s="7" t="inlineStr">
        <is>
          <t>Hesap sayfasıyla aynı oran ve süre seçilmiştir; böylece iki sayfa arasında yalnız anapara farklıdır. Gerçek bir teklif değildir.</t>
        </is>
      </c>
    </row>
    <row r="6">
      <c r="A6" s="3" t="inlineStr">
        <is>
          <t>Yatırım süresi (yıl)</t>
        </is>
      </c>
      <c r="B6" s="14" t="n">
        <v>3</v>
      </c>
    </row>
    <row r="7">
      <c r="A7" s="7" t="inlineStr">
        <is>
          <t>Varsayım: yıl içinde biriken para faiz almaz; yıl sonundaki toplam birikim tek seferde yatırılır. Her ay yatırılan paranın faizi H3'te FV fonksiyonuyla hesaplanır.</t>
        </is>
      </c>
    </row>
    <row r="9">
      <c r="A9" s="8" t="inlineStr">
        <is>
          <t>[H] Bütçe tablosu</t>
        </is>
      </c>
    </row>
    <row r="10">
      <c r="A10" s="16" t="inlineStr">
        <is>
          <t>Ay</t>
        </is>
      </c>
      <c r="B10" s="16" t="inlineStr">
        <is>
          <t>Gelir (TL)</t>
        </is>
      </c>
      <c r="C10" s="16" t="inlineStr">
        <is>
          <t>Gider (TL)</t>
        </is>
      </c>
      <c r="D10" s="16" t="inlineStr">
        <is>
          <t>Birikim (TL)</t>
        </is>
      </c>
      <c r="E10" s="16" t="inlineStr">
        <is>
          <t>Kümülatif birikim (TL)</t>
        </is>
      </c>
      <c r="F10" s="16" t="inlineStr">
        <is>
          <t>Not</t>
        </is>
      </c>
    </row>
    <row r="11">
      <c r="A11" s="3" t="inlineStr">
        <is>
          <t>Ocak</t>
        </is>
      </c>
      <c r="B11" s="9" t="n">
        <v>42000</v>
      </c>
      <c r="C11" s="9" t="n">
        <v>35500</v>
      </c>
      <c r="D11" s="19" t="n"/>
      <c r="E11" s="19" t="n"/>
      <c r="F11" s="7" t="inlineStr">
        <is>
          <t>Varsayım: aylık net gelir 42.000 TL (sentetik).</t>
        </is>
      </c>
    </row>
    <row r="12">
      <c r="A12" s="3" t="inlineStr">
        <is>
          <t>Şubat</t>
        </is>
      </c>
      <c r="B12" s="9" t="n">
        <v>42000</v>
      </c>
      <c r="C12" s="9" t="n">
        <v>34200</v>
      </c>
      <c r="D12" s="19" t="n"/>
      <c r="E12" s="19" t="n"/>
    </row>
    <row r="13">
      <c r="A13" s="3" t="inlineStr">
        <is>
          <t>Mart</t>
        </is>
      </c>
      <c r="B13" s="9" t="n">
        <v>42000</v>
      </c>
      <c r="C13" s="9" t="n">
        <v>36800</v>
      </c>
      <c r="D13" s="19" t="n"/>
      <c r="E13" s="19" t="n"/>
    </row>
    <row r="14">
      <c r="A14" s="3" t="inlineStr">
        <is>
          <t>Nisan</t>
        </is>
      </c>
      <c r="B14" s="9" t="n">
        <v>42000</v>
      </c>
      <c r="C14" s="9" t="n">
        <v>33900</v>
      </c>
      <c r="D14" s="19" t="n"/>
      <c r="E14" s="19" t="n"/>
    </row>
    <row r="15">
      <c r="A15" s="3" t="inlineStr">
        <is>
          <t>Mayıs</t>
        </is>
      </c>
      <c r="B15" s="9" t="n">
        <v>42000</v>
      </c>
      <c r="C15" s="9" t="n">
        <v>35000</v>
      </c>
      <c r="D15" s="19" t="n"/>
      <c r="E15" s="19" t="n"/>
    </row>
    <row r="16">
      <c r="A16" s="3" t="inlineStr">
        <is>
          <t>Haziran</t>
        </is>
      </c>
      <c r="B16" s="9" t="n">
        <v>42000</v>
      </c>
      <c r="C16" s="9" t="n">
        <v>38400</v>
      </c>
      <c r="D16" s="19" t="n"/>
      <c r="E16" s="19" t="n"/>
      <c r="F16" s="7" t="inlineStr">
        <is>
          <t>Haziran: yaz hazırlığı, gider biraz yüksek.</t>
        </is>
      </c>
    </row>
    <row r="17">
      <c r="A17" s="3" t="inlineStr">
        <is>
          <t>Temmuz</t>
        </is>
      </c>
      <c r="B17" s="9" t="n">
        <v>44000</v>
      </c>
      <c r="C17" s="9" t="n">
        <v>41200</v>
      </c>
      <c r="D17" s="19" t="n"/>
      <c r="E17" s="19" t="n"/>
      <c r="F17" s="7" t="inlineStr">
        <is>
          <t>Temmuz: gelir 44.000 TL'ye çıkar (varsayılan artış); tatil gideri yüksek.</t>
        </is>
      </c>
    </row>
    <row r="18">
      <c r="A18" s="3" t="inlineStr">
        <is>
          <t>Ağustos</t>
        </is>
      </c>
      <c r="B18" s="9" t="n">
        <v>44000</v>
      </c>
      <c r="C18" s="9" t="n">
        <v>36100</v>
      </c>
      <c r="D18" s="19" t="n"/>
      <c r="E18" s="19" t="n"/>
    </row>
    <row r="19">
      <c r="A19" s="3" t="inlineStr">
        <is>
          <t>Eylül</t>
        </is>
      </c>
      <c r="B19" s="9" t="n">
        <v>44000</v>
      </c>
      <c r="C19" s="9" t="n">
        <v>39500</v>
      </c>
      <c r="D19" s="19" t="n"/>
      <c r="E19" s="19" t="n"/>
      <c r="F19" s="7" t="inlineStr">
        <is>
          <t>Eylül: okul dönemi başı, gider yüksek.</t>
        </is>
      </c>
    </row>
    <row r="20">
      <c r="A20" s="3" t="inlineStr">
        <is>
          <t>Ekim</t>
        </is>
      </c>
      <c r="B20" s="9" t="n">
        <v>44000</v>
      </c>
      <c r="C20" s="9" t="n">
        <v>35700</v>
      </c>
      <c r="D20" s="19" t="n"/>
      <c r="E20" s="19" t="n"/>
    </row>
    <row r="21">
      <c r="A21" s="3" t="inlineStr">
        <is>
          <t>Kasım</t>
        </is>
      </c>
      <c r="B21" s="9" t="n">
        <v>44000</v>
      </c>
      <c r="C21" s="9" t="n">
        <v>34800</v>
      </c>
      <c r="D21" s="19" t="n"/>
      <c r="E21" s="19" t="n"/>
    </row>
    <row r="22">
      <c r="A22" s="3" t="inlineStr">
        <is>
          <t>Aralık</t>
        </is>
      </c>
      <c r="B22" s="9" t="n">
        <v>44000</v>
      </c>
      <c r="C22" s="9" t="n">
        <v>40300</v>
      </c>
      <c r="D22" s="19" t="n"/>
      <c r="E22" s="19" t="n"/>
      <c r="F22" s="7" t="inlineStr">
        <is>
          <t>Aralık: yıl sonu harcamaları.</t>
        </is>
      </c>
    </row>
    <row r="23">
      <c r="A23" s="2" t="inlineStr">
        <is>
          <t>Toplam (SUM)</t>
        </is>
      </c>
      <c r="B23" s="19" t="n"/>
      <c r="C23" s="19" t="n"/>
      <c r="D23" s="19" t="n"/>
    </row>
    <row r="24">
      <c r="A24" s="2" t="inlineStr">
        <is>
          <t>Ortalama (AVERAGE)</t>
        </is>
      </c>
      <c r="B24" s="19" t="n"/>
      <c r="C24" s="19" t="n"/>
      <c r="D24" s="19" t="n"/>
    </row>
    <row r="25">
      <c r="A25" s="2" t="inlineStr">
        <is>
          <t>En küçük (MIN)</t>
        </is>
      </c>
      <c r="B25" s="19" t="n"/>
      <c r="C25" s="19" t="n"/>
      <c r="D25" s="19" t="n"/>
    </row>
    <row r="26">
      <c r="A26" s="2" t="inlineStr">
        <is>
          <t>En büyük (MAX)</t>
        </is>
      </c>
      <c r="B26" s="19" t="n"/>
      <c r="C26" s="19" t="n"/>
      <c r="D26" s="19" t="n"/>
    </row>
    <row r="28">
      <c r="A28" s="8" t="inlineStr">
        <is>
          <t>[S] Sağlama</t>
        </is>
      </c>
    </row>
    <row r="29">
      <c r="A29" s="3" t="inlineStr">
        <is>
          <t>Kümülatif son satır - toplam birikim (0 olmalı)</t>
        </is>
      </c>
      <c r="B29" s="30" t="n"/>
    </row>
    <row r="31">
      <c r="A31" s="8" t="inlineStr">
        <is>
          <t>[H] Yıl sonu birikimi faizle</t>
        </is>
      </c>
    </row>
    <row r="32">
      <c r="A32" s="3" t="inlineStr">
        <is>
          <t>Yıl sonu birikim (TL)</t>
        </is>
      </c>
      <c r="B32" s="19" t="n"/>
    </row>
    <row r="33">
      <c r="A33" s="3" t="inlineStr">
        <is>
          <t>Basit faizle, süre sonunda (TL)</t>
        </is>
      </c>
      <c r="B33" s="19" t="n"/>
    </row>
    <row r="34">
      <c r="A34" s="3" t="inlineStr">
        <is>
          <t>Bileşik faizle, süre sonunda (TL)</t>
        </is>
      </c>
      <c r="B34" s="19" t="n"/>
    </row>
    <row r="35">
      <c r="A35" s="3" t="inlineStr">
        <is>
          <t>Fark: faizin faizi (TL)</t>
        </is>
      </c>
      <c r="B35" s="19" t="n"/>
    </row>
    <row r="37">
      <c r="A37" s="8" t="inlineStr">
        <is>
          <t>[Y] Yorum</t>
        </is>
      </c>
    </row>
    <row r="38">
      <c r="A38" s="7" t="inlineStr">
        <is>
          <t>1) En az birikim hangi aydadır? MIN sonucunun ait olduğu ay tabloda bulunur, nedeni Not sütununda aranır.</t>
        </is>
      </c>
    </row>
    <row r="39">
      <c r="A39" s="7" t="inlineStr">
        <is>
          <t>2) Faizin faizi, yıl sonu birikimin yüzde kaçıdır? Oran B40'ta hesaplanır, yorumu B41'e bir cümleyle yazılır.</t>
        </is>
      </c>
    </row>
    <row r="40">
      <c r="A40" s="3" t="inlineStr">
        <is>
          <t>Faizin faizi / yıl sonu birikim</t>
        </is>
      </c>
      <c r="B40" s="31" t="n"/>
    </row>
    <row r="41">
      <c r="A41" s="2" t="inlineStr">
        <is>
          <t>Yorum:</t>
        </is>
      </c>
      <c r="B41" s="2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90" customWidth="1" min="9" max="9"/>
  </cols>
  <sheetData>
    <row r="1">
      <c r="A1" s="1" t="inlineStr">
        <is>
          <t>Uygulama (derste, 50 dakika): G1 ve G2 Excel'de, G3 ve G4 Colab'da</t>
        </is>
      </c>
    </row>
    <row r="2">
      <c r="A2" s="7" t="inlineStr">
        <is>
          <t>Sarı hücreler öğrenci tarafından doldurulur. Formüle sayı yazılmaz; her sayı mavi bir girdi hücresindedir. Yardım için Faiz sayfasındaki aynı bölüme ve sarı hücrelerin notlarına bakılır.</t>
        </is>
      </c>
    </row>
    <row r="3">
      <c r="A3" s="7" t="inlineStr">
        <is>
          <t>Süre: G1 12 dk, G2 12 dk (bu sayfa); G3 12 dk, G4 14 dk (Colab: h02-excel-temel.ipynb, 'Uygulama G3-G4' bölümü).</t>
        </is>
      </c>
    </row>
    <row r="5">
      <c r="A5" s="8" t="inlineStr">
        <is>
          <t>G1 (12 dk): bileşiklenme sıklığı tablosu, EFFECT sağlaması, sürekli bileşik, 3 yıl ve grafik</t>
        </is>
      </c>
    </row>
    <row r="6">
      <c r="A6" s="3" t="inlineStr">
        <is>
          <t>[G] Anapara (TL)</t>
        </is>
      </c>
      <c r="B6" s="9" t="n">
        <v>100000</v>
      </c>
    </row>
    <row r="7">
      <c r="A7" s="3" t="inlineStr">
        <is>
          <t>[G] Yıllık nominal faiz oranı</t>
        </is>
      </c>
      <c r="B7" s="10" t="n">
        <v>0.4</v>
      </c>
    </row>
    <row r="8">
      <c r="A8" s="3" t="inlineStr">
        <is>
          <t>[G] Süre (yıl)</t>
        </is>
      </c>
      <c r="B8" s="14" t="n">
        <v>3</v>
      </c>
    </row>
    <row r="9">
      <c r="A9" s="3" t="inlineStr">
        <is>
          <t>Birim çevirme: yüzde puan = oran × 100</t>
        </is>
      </c>
      <c r="B9" s="14" t="n">
        <v>100</v>
      </c>
    </row>
    <row r="10">
      <c r="A10" s="16" t="inlineStr">
        <is>
          <t>Bileşiklenme</t>
        </is>
      </c>
      <c r="B10" s="16" t="inlineStr">
        <is>
          <t>Yılda dönem (m)</t>
        </is>
      </c>
      <c r="C10" s="16" t="inlineStr">
        <is>
          <t>Dönem oranı (r / m)</t>
        </is>
      </c>
      <c r="D10" s="16" t="inlineStr">
        <is>
          <t>Yıllık etkin: formül</t>
        </is>
      </c>
      <c r="E10" s="16" t="inlineStr">
        <is>
          <t>Yıllık etkin: EFFECT</t>
        </is>
      </c>
      <c r="F10" s="16" t="inlineStr">
        <is>
          <t>Fark: formül - EFFECT</t>
        </is>
      </c>
      <c r="G10" s="16" t="inlineStr">
        <is>
          <t>1 yıl sonunda (TL)</t>
        </is>
      </c>
      <c r="H10" s="16" t="inlineStr">
        <is>
          <t>3 yıl sonunda (TL)</t>
        </is>
      </c>
    </row>
    <row r="11">
      <c r="A11" s="3" t="inlineStr">
        <is>
          <t>Yıllık</t>
        </is>
      </c>
      <c r="B11" s="14" t="n">
        <v>1</v>
      </c>
      <c r="C11" s="32" t="n"/>
      <c r="D11" s="32" t="n"/>
      <c r="E11" s="32" t="n"/>
      <c r="F11" s="30" t="n"/>
      <c r="G11" s="19" t="n"/>
      <c r="H11" s="19" t="n"/>
    </row>
    <row r="12">
      <c r="A12" s="3" t="inlineStr">
        <is>
          <t>Altı aylık</t>
        </is>
      </c>
      <c r="B12" s="14" t="n">
        <v>2</v>
      </c>
      <c r="C12" s="32" t="n"/>
      <c r="D12" s="32" t="n"/>
      <c r="E12" s="32" t="n"/>
      <c r="F12" s="30" t="n"/>
      <c r="G12" s="19" t="n"/>
      <c r="H12" s="19" t="n"/>
    </row>
    <row r="13">
      <c r="A13" s="3" t="inlineStr">
        <is>
          <t>Üç aylık</t>
        </is>
      </c>
      <c r="B13" s="14" t="n">
        <v>4</v>
      </c>
      <c r="C13" s="32" t="n"/>
      <c r="D13" s="32" t="n"/>
      <c r="E13" s="32" t="n"/>
      <c r="F13" s="30" t="n"/>
      <c r="G13" s="19" t="n"/>
      <c r="H13" s="19" t="n"/>
    </row>
    <row r="14">
      <c r="A14" s="3" t="inlineStr">
        <is>
          <t>Aylık</t>
        </is>
      </c>
      <c r="B14" s="14" t="n">
        <v>12</v>
      </c>
      <c r="C14" s="32" t="n"/>
      <c r="D14" s="32" t="n"/>
      <c r="E14" s="32" t="n"/>
      <c r="F14" s="30" t="n"/>
      <c r="G14" s="19" t="n"/>
      <c r="H14" s="19" t="n"/>
    </row>
    <row r="15">
      <c r="A15" s="3" t="inlineStr">
        <is>
          <t>Haftalık</t>
        </is>
      </c>
      <c r="B15" s="14" t="n">
        <v>52</v>
      </c>
      <c r="C15" s="32" t="n"/>
      <c r="D15" s="32" t="n"/>
      <c r="E15" s="32" t="n"/>
      <c r="F15" s="30" t="n"/>
      <c r="G15" s="19" t="n"/>
      <c r="H15" s="19" t="n"/>
    </row>
    <row r="16">
      <c r="A16" s="3" t="inlineStr">
        <is>
          <t>Günlük</t>
        </is>
      </c>
      <c r="B16" s="14" t="n">
        <v>365</v>
      </c>
      <c r="C16" s="32" t="n"/>
      <c r="D16" s="32" t="n"/>
      <c r="E16" s="32" t="n"/>
      <c r="F16" s="30" t="n"/>
      <c r="G16" s="19" t="n"/>
      <c r="H16" s="19" t="n"/>
    </row>
    <row r="17">
      <c r="A17" s="3" t="inlineStr">
        <is>
          <t>Sürekli (sınır)</t>
        </is>
      </c>
      <c r="D17" s="32" t="n"/>
      <c r="G17" s="19" t="n"/>
      <c r="H17" s="19" t="n"/>
    </row>
    <row r="18">
      <c r="A18" s="7" t="inlineStr">
        <is>
          <t>Grafik (G1'in son adımı): B11:B16 ile D11:D16 seçilir ve Insert sekmesinden noktaları gösteren bir X-Y (Scatter) grafiği eklenir. Yatay eksen logaritmik ölçeğe alınır (Format Axis &gt; Logarithmic scale).</t>
        </is>
      </c>
    </row>
    <row r="19">
      <c r="A19" s="8" t="inlineStr">
        <is>
          <t>[S] Sağlama ve [H] karşılaştırma (G1)</t>
        </is>
      </c>
    </row>
    <row r="20">
      <c r="A20" s="3" t="inlineStr">
        <is>
          <t>[S] Yıllık satır, 3 yıl: tablo - FV (0 olmalı)</t>
        </is>
      </c>
      <c r="B20" s="30" t="n"/>
    </row>
    <row r="21">
      <c r="A21" s="3" t="inlineStr">
        <is>
          <t>[S] Sürekli, 3 yıl: tablo - anapara × (1 + D17)^yıl (0 olmalı)</t>
        </is>
      </c>
      <c r="B21" s="30" t="n"/>
    </row>
    <row r="22">
      <c r="A22" s="3" t="inlineStr">
        <is>
          <t>[H] Sürekli - günlük etkin oran (yüzde puan)</t>
        </is>
      </c>
      <c r="B22" s="34" t="n"/>
    </row>
    <row r="23">
      <c r="A23" s="3" t="inlineStr">
        <is>
          <t>[H] Sürekli - aylık, 3 yıl sonunda (TL)</t>
        </is>
      </c>
      <c r="B23" s="19" t="n"/>
    </row>
    <row r="24">
      <c r="A24" s="2" t="inlineStr">
        <is>
          <t>Yorum (G1):</t>
        </is>
      </c>
      <c r="B24" s="21" t="n"/>
    </row>
    <row r="36">
      <c r="A36" s="8" t="inlineStr">
        <is>
          <t>G2 (12 dk): dört teklif. Hangisi gerçekte en çok kazandırır?</t>
        </is>
      </c>
    </row>
    <row r="37">
      <c r="A37" s="7" t="inlineStr">
        <is>
          <t>Varsayımlar: oranlar varsayımsaldır, gerçek banka teklifi değildir; stopaj ve vergi yok; her teklif vade sonunda aynı koşulla yenilenir ve faiz anaparaya eklenir.</t>
        </is>
      </c>
    </row>
    <row r="38">
      <c r="A38" s="7" t="inlineStr">
        <is>
          <t>Bu varsayımlardan biri değişirse (ör. 32 gün sonra oran düşerse) sıralama değişebilir. Yorumda varsayımlar da yazılır.</t>
        </is>
      </c>
    </row>
    <row r="39">
      <c r="A39" s="3" t="inlineStr">
        <is>
          <t>[G] Bir yıldaki gün sayısı</t>
        </is>
      </c>
      <c r="B39" s="14" t="n">
        <v>365</v>
      </c>
    </row>
    <row r="40">
      <c r="A40" s="3" t="inlineStr">
        <is>
          <t>[G] A teklifinin vadesi (gün)</t>
        </is>
      </c>
      <c r="B40" s="14" t="n">
        <v>32</v>
      </c>
    </row>
    <row r="41">
      <c r="A41" s="16" t="inlineStr">
        <is>
          <t>Teklif</t>
        </is>
      </c>
      <c r="B41" s="16" t="inlineStr">
        <is>
          <t>İlan edilen oran</t>
        </is>
      </c>
      <c r="C41" s="16" t="inlineStr">
        <is>
          <t>Oranın dönemi</t>
        </is>
      </c>
      <c r="D41" s="16" t="inlineStr">
        <is>
          <t>Yılda dönem sayısı (m)</t>
        </is>
      </c>
      <c r="E41" s="16" t="inlineStr">
        <is>
          <t>Dönem oranı</t>
        </is>
      </c>
      <c r="F41" s="16" t="inlineStr">
        <is>
          <t>Yıllık nominal (dönem oranı × m)</t>
        </is>
      </c>
      <c r="G41" s="16" t="inlineStr">
        <is>
          <t>Yıllık etkin</t>
        </is>
      </c>
      <c r="H41" s="16" t="inlineStr">
        <is>
          <t>Sıra (1 = en yüksek etkin)</t>
        </is>
      </c>
      <c r="I41" s="16" t="inlineStr">
        <is>
          <t>Teklifin açıklaması</t>
        </is>
      </c>
    </row>
    <row r="42">
      <c r="A42" s="2" t="inlineStr">
        <is>
          <t>A</t>
        </is>
      </c>
      <c r="B42" s="10" t="n">
        <v>0.4</v>
      </c>
      <c r="C42" s="3" t="inlineStr">
        <is>
          <t>yıllık, basit</t>
        </is>
      </c>
      <c r="D42" s="35" t="n"/>
      <c r="E42" s="32" t="n"/>
      <c r="F42" s="32" t="n"/>
      <c r="G42" s="32" t="n"/>
      <c r="H42" s="33" t="n"/>
      <c r="I42" s="7" t="inlineStr">
        <is>
          <t>Kısa vadeli mevduat: vade B40 gün, faiz yıllık oranla basit hesaplanır (oran × gün / yıldaki gün), vade sonunda yenilenir.</t>
        </is>
      </c>
    </row>
    <row r="43">
      <c r="A43" s="2" t="inlineStr">
        <is>
          <t>B</t>
        </is>
      </c>
      <c r="B43" s="10" t="n">
        <v>0.41</v>
      </c>
      <c r="C43" s="3" t="inlineStr">
        <is>
          <t>yıllık</t>
        </is>
      </c>
      <c r="D43" s="14" t="n">
        <v>4</v>
      </c>
      <c r="E43" s="32" t="n"/>
      <c r="F43" s="32" t="n"/>
      <c r="G43" s="32" t="n"/>
      <c r="H43" s="33" t="n"/>
      <c r="I43" s="7" t="inlineStr">
        <is>
          <t>3 ay vadeli mevduat: her vadede yıllık oranın dörtte biri, vade sonunda yenilenir.</t>
        </is>
      </c>
    </row>
    <row r="44">
      <c r="A44" s="2" t="inlineStr">
        <is>
          <t>C</t>
        </is>
      </c>
      <c r="B44" s="10" t="n">
        <v>0.43</v>
      </c>
      <c r="C44" s="3" t="inlineStr">
        <is>
          <t>yıllık</t>
        </is>
      </c>
      <c r="D44" s="14" t="n">
        <v>1</v>
      </c>
      <c r="E44" s="32" t="n"/>
      <c r="F44" s="32" t="n"/>
      <c r="G44" s="32" t="n"/>
      <c r="H44" s="33" t="n"/>
      <c r="I44" s="7" t="inlineStr">
        <is>
          <t>1 yıl vadeli mevduat: faiz yıl sonunda bir kez.</t>
        </is>
      </c>
    </row>
    <row r="45">
      <c r="A45" s="2" t="inlineStr">
        <is>
          <t>D</t>
        </is>
      </c>
      <c r="B45" s="10" t="n">
        <v>0.031</v>
      </c>
      <c r="C45" s="3" t="inlineStr">
        <is>
          <t>aylık</t>
        </is>
      </c>
      <c r="D45" s="14" t="n">
        <v>12</v>
      </c>
      <c r="E45" s="32" t="n"/>
      <c r="F45" s="32" t="n"/>
      <c r="G45" s="32" t="n"/>
      <c r="H45" s="33" t="n"/>
      <c r="I45" s="7" t="inlineStr">
        <is>
          <t>Aylık faizli ürün: her ay aylık oran, faiz anaparaya eklenir (bileşik).</t>
        </is>
      </c>
    </row>
    <row r="47">
      <c r="A47" s="8" t="inlineStr">
        <is>
          <t>[S] Sağlama ve [H] sonuç (G2)</t>
        </is>
      </c>
    </row>
    <row r="48">
      <c r="A48" s="3" t="inlineStr">
        <is>
          <t>[S] B teklifi: EFFECT(nominal, m) - yıllık etkin (0 olmalı)</t>
        </is>
      </c>
      <c r="B48" s="30" t="n"/>
    </row>
    <row r="49">
      <c r="A49" s="3" t="inlineStr">
        <is>
          <t>[H] A teklifi EFFECT ile (EFFECT m'yi tam sayıya keser)</t>
        </is>
      </c>
      <c r="B49" s="32" t="n"/>
    </row>
    <row r="50">
      <c r="A50" s="3" t="inlineStr">
        <is>
          <t>[H] EFFECT'in A'daki hatası (yüzde puan)</t>
        </is>
      </c>
      <c r="B50" s="34" t="n"/>
    </row>
    <row r="51">
      <c r="A51" s="3" t="inlineStr">
        <is>
          <t>[H] En yüksek yıllık etkin oran</t>
        </is>
      </c>
      <c r="B51" s="32" t="n"/>
    </row>
    <row r="52">
      <c r="A52" s="3" t="inlineStr">
        <is>
          <t>[H] En çok kazandıran teklif</t>
        </is>
      </c>
      <c r="B52" s="36" t="n"/>
    </row>
    <row r="53">
      <c r="A53" s="3" t="inlineStr">
        <is>
          <t>[H] A'nın etkini - C'nin etkini (yüzde puan)</t>
        </is>
      </c>
      <c r="B53" s="34" t="n"/>
    </row>
    <row r="54">
      <c r="A54" s="3" t="inlineStr">
        <is>
          <t>[H] D: yıllık etkin - yıllık nominal (yüzde puan)</t>
        </is>
      </c>
      <c r="B54" s="34" t="n"/>
    </row>
    <row r="55">
      <c r="A55" s="2" t="inlineStr">
        <is>
          <t>Yorum (G2):</t>
        </is>
      </c>
      <c r="B55" s="21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2026-10-13T15:00:23Z</dcterms:created>
  <dcterms:modified xsi:type="dcterms:W3CDTF">2026-10-13T15:00:23Z</dcterms:modified>
</cp:coreProperties>
</file>